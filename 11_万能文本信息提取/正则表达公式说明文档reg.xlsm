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信永中和\DIY工具\"/>
    </mc:Choice>
  </mc:AlternateContent>
  <xr:revisionPtr revIDLastSave="0" documentId="13_ncr:1_{12CC5334-6923-432B-9C68-2DCE57D427A4}" xr6:coauthVersionLast="36" xr6:coauthVersionMax="36" xr10:uidLastSave="{00000000-0000-0000-0000-000000000000}"/>
  <bookViews>
    <workbookView xWindow="0" yWindow="0" windowWidth="20040" windowHeight="9948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Sheet1!$A$14:$F$37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" l="1"/>
  <c r="E19" i="1"/>
  <c r="E20" i="1"/>
  <c r="E16" i="1"/>
  <c r="E17" i="1"/>
  <c r="E15" i="1"/>
  <c r="E7" i="1"/>
  <c r="E8" i="1"/>
  <c r="E10" i="1"/>
  <c r="E11" i="1"/>
  <c r="E6" i="1"/>
  <c r="E9" i="1"/>
  <c r="E5" i="1"/>
  <c r="E12" i="1"/>
  <c r="E4" i="1"/>
  <c r="E27" i="1"/>
  <c r="E34" i="1"/>
  <c r="E36" i="1"/>
  <c r="E28" i="1"/>
  <c r="E30" i="1"/>
  <c r="E23" i="1"/>
  <c r="E25" i="1"/>
  <c r="E32" i="1"/>
  <c r="E31" i="1"/>
  <c r="E33" i="1"/>
  <c r="E26" i="1"/>
  <c r="E35" i="1"/>
  <c r="E29" i="1"/>
  <c r="E37" i="1"/>
  <c r="E22" i="1"/>
  <c r="E24" i="1"/>
  <c r="E21" i="1"/>
</calcChain>
</file>

<file path=xl/sharedStrings.xml><?xml version="1.0" encoding="utf-8"?>
<sst xmlns="http://schemas.openxmlformats.org/spreadsheetml/2006/main" count="77" uniqueCount="63">
  <si>
    <r>
      <rPr>
        <sz val="10"/>
        <rFont val="SimSun"/>
        <charset val="134"/>
      </rPr>
      <t>参数</t>
    </r>
    <r>
      <rPr>
        <sz val="10"/>
        <rFont val="Times New Roman"/>
        <family val="1"/>
      </rPr>
      <t>1</t>
    </r>
    <phoneticPr fontId="4"/>
  </si>
  <si>
    <r>
      <rPr>
        <sz val="10"/>
        <rFont val="SimSun"/>
        <charset val="134"/>
      </rPr>
      <t>参数</t>
    </r>
    <r>
      <rPr>
        <sz val="10"/>
        <rFont val="Times New Roman"/>
        <family val="1"/>
      </rPr>
      <t>2</t>
    </r>
    <phoneticPr fontId="4"/>
  </si>
  <si>
    <t>Pattern</t>
    <phoneticPr fontId="4"/>
  </si>
  <si>
    <r>
      <rPr>
        <sz val="10"/>
        <rFont val="SimSun"/>
        <charset val="134"/>
      </rPr>
      <t>参数</t>
    </r>
    <r>
      <rPr>
        <sz val="10"/>
        <rFont val="Times New Roman"/>
        <family val="1"/>
      </rPr>
      <t>3</t>
    </r>
    <phoneticPr fontId="4"/>
  </si>
  <si>
    <r>
      <rPr>
        <sz val="10"/>
        <rFont val="SimSun"/>
        <charset val="134"/>
      </rPr>
      <t>自定义函数返回结果</t>
    </r>
    <phoneticPr fontId="4"/>
  </si>
  <si>
    <r>
      <t>Txt</t>
    </r>
    <r>
      <rPr>
        <sz val="10"/>
        <rFont val="SimSun"/>
        <charset val="134"/>
      </rPr>
      <t>参数</t>
    </r>
    <r>
      <rPr>
        <sz val="10"/>
        <rFont val="Times New Roman"/>
        <family val="1"/>
      </rPr>
      <t>1</t>
    </r>
    <phoneticPr fontId="4"/>
  </si>
  <si>
    <r>
      <rPr>
        <sz val="10"/>
        <rFont val="SimSun"/>
        <charset val="134"/>
      </rPr>
      <t>模式位置</t>
    </r>
    <r>
      <rPr>
        <sz val="10"/>
        <rFont val="Times New Roman"/>
        <family val="1"/>
      </rPr>
      <t>k</t>
    </r>
    <r>
      <rPr>
        <sz val="10"/>
        <rFont val="SimSun"/>
        <charset val="134"/>
      </rPr>
      <t>参数</t>
    </r>
    <r>
      <rPr>
        <sz val="10"/>
        <rFont val="Times New Roman"/>
        <family val="1"/>
      </rPr>
      <t>2</t>
    </r>
    <phoneticPr fontId="4"/>
  </si>
  <si>
    <r>
      <t>Pattern</t>
    </r>
    <r>
      <rPr>
        <sz val="10"/>
        <rFont val="SimSun"/>
        <charset val="134"/>
      </rPr>
      <t>参数</t>
    </r>
    <r>
      <rPr>
        <sz val="10"/>
        <rFont val="Times New Roman"/>
        <family val="1"/>
      </rPr>
      <t>3</t>
    </r>
    <phoneticPr fontId="4"/>
  </si>
  <si>
    <r>
      <t>s</t>
    </r>
    <r>
      <rPr>
        <sz val="10"/>
        <rFont val="SimSun"/>
        <charset val="134"/>
      </rPr>
      <t>参数</t>
    </r>
    <r>
      <rPr>
        <sz val="10"/>
        <rFont val="Times New Roman"/>
        <family val="1"/>
      </rPr>
      <t>4</t>
    </r>
    <phoneticPr fontId="4"/>
  </si>
  <si>
    <r>
      <rPr>
        <sz val="10"/>
        <rFont val="SimSun"/>
        <charset val="134"/>
      </rPr>
      <t>备注</t>
    </r>
    <phoneticPr fontId="4"/>
  </si>
  <si>
    <t>\d+</t>
    <phoneticPr fontId="4"/>
  </si>
  <si>
    <t>\d+(\.\d+)?</t>
    <phoneticPr fontId="4"/>
  </si>
  <si>
    <t>[a-zA-Z]+</t>
    <phoneticPr fontId="4"/>
  </si>
  <si>
    <t>\d+(\.\d+)?%</t>
    <phoneticPr fontId="4"/>
  </si>
  <si>
    <t>[\u4e00-\u9fff]+</t>
    <phoneticPr fontId="4"/>
  </si>
  <si>
    <t>提取整数</t>
    <phoneticPr fontId="4"/>
  </si>
  <si>
    <t>提取小数</t>
    <phoneticPr fontId="4"/>
  </si>
  <si>
    <t>提取纯字母</t>
    <phoneticPr fontId="4"/>
  </si>
  <si>
    <t>提取字母数字混合</t>
    <phoneticPr fontId="4"/>
  </si>
  <si>
    <t>提取百分数</t>
    <phoneticPr fontId="4"/>
  </si>
  <si>
    <t>提取整数或小数</t>
    <phoneticPr fontId="4"/>
  </si>
  <si>
    <t>提取汉字</t>
    <phoneticPr fontId="4"/>
  </si>
  <si>
    <t>提取括号里内容</t>
    <phoneticPr fontId="2" type="noConversion"/>
  </si>
  <si>
    <t>提取效果</t>
    <phoneticPr fontId="4"/>
  </si>
  <si>
    <t>替换后效果</t>
    <phoneticPr fontId="4"/>
  </si>
  <si>
    <t>应收化工企业30%碱196.281T【07235838】</t>
  </si>
  <si>
    <t>应收化工企业50%碱236.761T{07235839}</t>
  </si>
  <si>
    <t>应收化工企业甲缩醛363.66T（07235840}</t>
  </si>
  <si>
    <t>应收化工企业乌洛托品222T[07235841-42]</t>
  </si>
  <si>
    <r>
      <t>([(</t>
    </r>
    <r>
      <rPr>
        <sz val="10"/>
        <rFont val="宋体"/>
        <family val="3"/>
        <charset val="134"/>
      </rPr>
      <t>（【</t>
    </r>
    <r>
      <rPr>
        <sz val="10"/>
        <rFont val="Times New Roman"/>
        <family val="1"/>
      </rPr>
      <t>\[{])([^\]</t>
    </r>
    <r>
      <rPr>
        <sz val="10"/>
        <rFont val="宋体"/>
        <family val="3"/>
        <charset val="134"/>
      </rPr>
      <t>】</t>
    </r>
    <r>
      <rPr>
        <sz val="10"/>
        <rFont val="Times New Roman"/>
        <family val="1"/>
      </rPr>
      <t>)</t>
    </r>
    <r>
      <rPr>
        <sz val="10"/>
        <rFont val="宋体"/>
        <family val="3"/>
        <charset val="134"/>
      </rPr>
      <t>）</t>
    </r>
    <r>
      <rPr>
        <sz val="10"/>
        <rFont val="Times New Roman"/>
        <family val="1"/>
      </rPr>
      <t>}]+)([\]</t>
    </r>
    <r>
      <rPr>
        <sz val="10"/>
        <rFont val="宋体"/>
        <family val="3"/>
        <charset val="134"/>
      </rPr>
      <t>】</t>
    </r>
    <r>
      <rPr>
        <sz val="10"/>
        <rFont val="Times New Roman"/>
        <family val="1"/>
      </rPr>
      <t>)</t>
    </r>
    <r>
      <rPr>
        <sz val="10"/>
        <rFont val="宋体"/>
        <family val="3"/>
        <charset val="134"/>
      </rPr>
      <t>）</t>
    </r>
    <r>
      <rPr>
        <sz val="10"/>
        <rFont val="Times New Roman"/>
        <family val="1"/>
      </rPr>
      <t>}])</t>
    </r>
    <phoneticPr fontId="4"/>
  </si>
  <si>
    <r>
      <t>0</t>
    </r>
    <r>
      <rPr>
        <sz val="10"/>
        <rFont val="SimSun"/>
        <charset val="134"/>
      </rPr>
      <t>或默认留空为替换文本。</t>
    </r>
    <r>
      <rPr>
        <sz val="10"/>
        <rFont val="Times New Roman"/>
        <family val="1"/>
      </rPr>
      <t>1</t>
    </r>
    <r>
      <rPr>
        <sz val="10"/>
        <rFont val="SimSun"/>
        <charset val="134"/>
      </rPr>
      <t>，</t>
    </r>
    <r>
      <rPr>
        <sz val="10"/>
        <rFont val="Times New Roman"/>
        <family val="1"/>
      </rPr>
      <t>2….,-1.1,-2.1</t>
    </r>
    <r>
      <rPr>
        <sz val="10"/>
        <rFont val="SimSun"/>
        <charset val="134"/>
      </rPr>
      <t>等是提取文本。</t>
    </r>
    <phoneticPr fontId="4"/>
  </si>
  <si>
    <t>1a2b3c4d_other</t>
    <phoneticPr fontId="4"/>
  </si>
  <si>
    <t>\d+[a-zA-Z]+</t>
    <phoneticPr fontId="4"/>
  </si>
  <si>
    <t>以【数字英字】为组单位，提取第3组结果</t>
    <phoneticPr fontId="4"/>
  </si>
  <si>
    <t>1a2b3c4d_other</t>
    <phoneticPr fontId="4"/>
  </si>
  <si>
    <t>(\d+)([a-zA-Z]+)</t>
    <phoneticPr fontId="4"/>
  </si>
  <si>
    <t>以【数字英字】为组单位，提取第3组第1小组结果</t>
    <phoneticPr fontId="4"/>
  </si>
  <si>
    <t>1a2b3c4d_other</t>
    <phoneticPr fontId="4"/>
  </si>
  <si>
    <t>(\d+)([a-zA-Z]+)</t>
    <phoneticPr fontId="4"/>
  </si>
  <si>
    <t>以【数字英字】为组单位，提取第3组第2小组结果</t>
    <phoneticPr fontId="4"/>
  </si>
  <si>
    <t>(\d+\D+){2}(\d+\D+).*</t>
    <phoneticPr fontId="4"/>
  </si>
  <si>
    <t>直接以pattern第2组"$2"的提取结果置换txt</t>
    <phoneticPr fontId="4"/>
  </si>
  <si>
    <t>(\d+\D+)(\d+\D+)(\d+\D+).*</t>
    <phoneticPr fontId="4"/>
  </si>
  <si>
    <t>直接以pattern第3组"$3"的提取结果置换txt</t>
    <phoneticPr fontId="4"/>
  </si>
  <si>
    <t>置换掉前面123组保留后面的字符</t>
    <phoneticPr fontId="4"/>
  </si>
  <si>
    <t>([“""'])([^”""']+)([""'”])</t>
    <phoneticPr fontId="2" type="noConversion"/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</si>
  <si>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0006”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</si>
  <si>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0007”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</si>
  <si>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0008”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</si>
  <si>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0009”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</si>
  <si>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0010”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</si>
  <si>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0011”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</si>
  <si>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0012”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</si>
  <si>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0013”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</si>
  <si>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XZX07223618-25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0005”</t>
    </r>
    <r>
      <rPr>
        <sz val="11"/>
        <color theme="1"/>
        <rFont val="宋体"/>
        <family val="2"/>
        <charset val="134"/>
        <scheme val="minor"/>
      </rPr>
      <t/>
    </r>
    <phoneticPr fontId="2" type="noConversion"/>
  </si>
  <si>
    <r>
      <t>nigo81</t>
    </r>
    <r>
      <rPr>
        <sz val="10"/>
        <rFont val="SimSun"/>
        <charset val="134"/>
      </rPr>
      <t>提示：原作者</t>
    </r>
    <r>
      <rPr>
        <sz val="10"/>
        <rFont val="Times New Roman"/>
        <family val="1"/>
      </rPr>
      <t>ExcelHome</t>
    </r>
    <r>
      <rPr>
        <sz val="10"/>
        <rFont val="SimSun"/>
        <charset val="134"/>
      </rPr>
      <t>论坛</t>
    </r>
    <r>
      <rPr>
        <sz val="10"/>
        <rFont val="Times New Roman"/>
        <family val="1"/>
      </rPr>
      <t xml:space="preserve"> </t>
    </r>
    <r>
      <rPr>
        <sz val="10"/>
        <rFont val="SimSun"/>
        <charset val="134"/>
      </rPr>
      <t>香川群子</t>
    </r>
    <r>
      <rPr>
        <sz val="10"/>
        <rFont val="Times New Roman"/>
        <family val="1"/>
      </rPr>
      <t>[kagawa]</t>
    </r>
    <r>
      <rPr>
        <sz val="10"/>
        <rFont val="SimSun"/>
        <charset val="134"/>
      </rPr>
      <t>，</t>
    </r>
    <r>
      <rPr>
        <sz val="10"/>
        <rFont val="Times New Roman"/>
        <family val="1"/>
      </rPr>
      <t>nigo</t>
    </r>
    <r>
      <rPr>
        <sz val="10"/>
        <rFont val="SimSun"/>
        <charset val="134"/>
      </rPr>
      <t>修改。增值税率</t>
    </r>
    <r>
      <rPr>
        <sz val="10"/>
        <rFont val="Times New Roman"/>
        <family val="1"/>
      </rPr>
      <t>17%</t>
    </r>
    <r>
      <rPr>
        <sz val="10"/>
        <rFont val="SimSun"/>
        <charset val="134"/>
      </rPr>
      <t>，小数就是</t>
    </r>
    <r>
      <rPr>
        <sz val="10"/>
        <rFont val="Times New Roman"/>
        <family val="1"/>
      </rPr>
      <t>0.17</t>
    </r>
    <r>
      <rPr>
        <sz val="10"/>
        <rFont val="SimSun"/>
        <charset val="134"/>
      </rPr>
      <t>，今天“</t>
    </r>
    <r>
      <rPr>
        <sz val="10"/>
        <rFont val="Times New Roman"/>
        <family val="1"/>
      </rPr>
      <t>2018</t>
    </r>
    <r>
      <rPr>
        <sz val="10"/>
        <rFont val="SimSun"/>
        <charset val="134"/>
      </rPr>
      <t>年</t>
    </r>
    <r>
      <rPr>
        <sz val="10"/>
        <rFont val="Times New Roman"/>
        <family val="1"/>
      </rPr>
      <t>8</t>
    </r>
    <r>
      <rPr>
        <sz val="10"/>
        <rFont val="SimSun"/>
        <charset val="134"/>
      </rPr>
      <t>月</t>
    </r>
    <r>
      <rPr>
        <sz val="10"/>
        <rFont val="Times New Roman"/>
        <family val="1"/>
      </rPr>
      <t>12</t>
    </r>
    <r>
      <rPr>
        <sz val="10"/>
        <rFont val="SimSun"/>
        <charset val="134"/>
      </rPr>
      <t>号”。</t>
    </r>
    <phoneticPr fontId="4"/>
  </si>
  <si>
    <t>提取引号里内容</t>
  </si>
  <si>
    <t>提取引号里内容</t>
    <phoneticPr fontId="2" type="noConversion"/>
  </si>
  <si>
    <r>
      <rPr>
        <sz val="10"/>
        <rFont val="宋体"/>
        <family val="3"/>
        <charset val="134"/>
      </rPr>
      <t>和</t>
    </r>
    <r>
      <rPr>
        <sz val="10"/>
        <rFont val="Times New Roman"/>
        <family val="1"/>
      </rPr>
      <t>XX</t>
    </r>
    <r>
      <rPr>
        <sz val="10"/>
        <rFont val="宋体"/>
        <family val="3"/>
        <charset val="134"/>
      </rPr>
      <t>签订</t>
    </r>
    <r>
      <rPr>
        <sz val="10"/>
        <rFont val="Times New Roman"/>
        <family val="1"/>
      </rPr>
      <t>AW20174565465</t>
    </r>
    <r>
      <rPr>
        <sz val="10"/>
        <rFont val="宋体"/>
        <family val="3"/>
        <charset val="134"/>
      </rPr>
      <t>合同</t>
    </r>
    <phoneticPr fontId="4"/>
  </si>
  <si>
    <r>
      <rPr>
        <sz val="10"/>
        <rFont val="宋体"/>
        <family val="3"/>
        <charset val="134"/>
      </rPr>
      <t>签订</t>
    </r>
    <r>
      <rPr>
        <sz val="10"/>
        <rFont val="Times New Roman"/>
        <family val="1"/>
      </rPr>
      <t>AW20174565465</t>
    </r>
    <r>
      <rPr>
        <sz val="10"/>
        <rFont val="宋体"/>
        <family val="3"/>
        <charset val="134"/>
      </rPr>
      <t>合同</t>
    </r>
    <r>
      <rPr>
        <sz val="10"/>
        <rFont val="Times New Roman"/>
        <family val="1"/>
      </rPr>
      <t>XXX</t>
    </r>
    <phoneticPr fontId="4"/>
  </si>
  <si>
    <r>
      <rPr>
        <sz val="10"/>
        <rFont val="宋体"/>
        <family val="3"/>
        <charset val="134"/>
      </rPr>
      <t>签订</t>
    </r>
    <r>
      <rPr>
        <sz val="10"/>
        <rFont val="Times New Roman"/>
        <family val="1"/>
      </rPr>
      <t>AW20174565465</t>
    </r>
    <r>
      <rPr>
        <sz val="10"/>
        <rFont val="宋体"/>
        <family val="3"/>
        <charset val="134"/>
      </rPr>
      <t>合同</t>
    </r>
    <r>
      <rPr>
        <sz val="10"/>
        <rFont val="Times New Roman"/>
        <family val="1"/>
      </rPr>
      <t>X</t>
    </r>
    <phoneticPr fontId="4"/>
  </si>
  <si>
    <r>
      <rPr>
        <sz val="10"/>
        <rFont val="宋体"/>
        <family val="3"/>
        <charset val="134"/>
      </rPr>
      <t>应收化工企业</t>
    </r>
    <r>
      <rPr>
        <sz val="10"/>
        <rFont val="Times New Roman"/>
        <family val="1"/>
      </rPr>
      <t>30%</t>
    </r>
    <r>
      <rPr>
        <sz val="10"/>
        <rFont val="宋体"/>
        <family val="3"/>
        <charset val="134"/>
      </rPr>
      <t>碱</t>
    </r>
    <r>
      <rPr>
        <sz val="10"/>
        <rFont val="Times New Roman"/>
        <family val="1"/>
      </rPr>
      <t>2579.549T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07223618-25</t>
    </r>
    <r>
      <rPr>
        <sz val="10"/>
        <rFont val="宋体"/>
        <family val="3"/>
        <charset val="134"/>
      </rPr>
      <t>）“合同号</t>
    </r>
    <r>
      <rPr>
        <sz val="10"/>
        <rFont val="Times New Roman"/>
        <family val="1"/>
      </rPr>
      <t>0014”</t>
    </r>
    <r>
      <rPr>
        <sz val="10"/>
        <rFont val="宋体"/>
        <family val="3"/>
        <charset val="134"/>
      </rPr>
      <t>（</t>
    </r>
    <r>
      <rPr>
        <sz val="10"/>
        <rFont val="Times New Roman"/>
        <family val="1"/>
      </rPr>
      <t>003</t>
    </r>
    <r>
      <rPr>
        <sz val="10"/>
        <rFont val="宋体"/>
        <family val="3"/>
        <charset val="134"/>
      </rPr>
      <t>）</t>
    </r>
    <phoneticPr fontId="2" type="noConversion"/>
  </si>
  <si>
    <t>(([a-zA-Z]+\d+\.?\d*)|(\d+\.?\d*[a-zA-Z]+))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</si>
</sst>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24" formatCode="\$#,##0_);[Red]\(\$#,##0\)"/>
  </numFmts>
  <fonts count="7">
    <font>
      <sz val="11"/>
      <color theme="1"/>
      <name val="宋体"/>
      <family val="2"/>
      <charset val="134"/>
      <scheme val="minor"/>
    </font>
    <font>
      <sz val="10"/>
      <name val="Times New Roman"/>
      <family val="1"/>
    </font>
    <font>
      <sz val="9"/>
      <name val="宋体"/>
      <family val="2"/>
      <charset val="134"/>
      <scheme val="minor"/>
    </font>
    <font>
      <sz val="10"/>
      <name val="SimSun"/>
      <charset val="134"/>
    </font>
    <font>
      <sz val="6"/>
      <name val="ＭＳ Ｐゴシック"/>
      <family val="3"/>
      <charset val="128"/>
    </font>
    <font>
      <sz val="10"/>
      <name val="宋体"/>
      <family val="3"/>
      <charset val="134"/>
    </font>
    <font>
      <sz val="11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3" borderId="2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6" borderId="4" xfId="0" applyFont="1" applyFill="1" applyBorder="1">
      <alignment vertical="center"/>
    </xf>
    <xf numFmtId="0" fontId="1" fillId="6" borderId="5" xfId="0" applyFont="1" applyFill="1" applyBorder="1">
      <alignment vertical="center"/>
    </xf>
    <xf numFmtId="0" fontId="1" fillId="6" borderId="6" xfId="0" applyFont="1" applyFill="1" applyBorder="1">
      <alignment vertical="center"/>
    </xf>
    <xf numFmtId="0" fontId="1" fillId="0" borderId="1" xfId="0" applyFont="1" applyBorder="1">
      <alignment vertical="center"/>
    </xf>
    <xf numFmtId="0" fontId="3" fillId="4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49" fontId="1" fillId="0" borderId="0" xfId="0" applyNumberFormat="1" applyFont="1">
      <alignment vertical="center"/>
    </xf>
    <xf numFmtId="49" fontId="1" fillId="2" borderId="1" xfId="0" applyNumberFormat="1" applyFont="1" applyFill="1" applyBorder="1">
      <alignment vertical="center"/>
    </xf>
    <xf numFmtId="49" fontId="1" fillId="3" borderId="1" xfId="0" applyNumberFormat="1" applyFont="1" applyFill="1" applyBorder="1">
      <alignment vertical="center"/>
    </xf>
    <xf numFmtId="49" fontId="1" fillId="5" borderId="3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1" fillId="7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0" fontId="1" fillId="0" borderId="0" xfId="0" applyNumberFormat="1" applyFont="1">
      <alignment vertical="center"/>
    </xf>
    <xf numFmtId="0" fontId="1" fillId="8" borderId="0" xfId="0" applyFont="1" applyFill="1">
      <alignment vertical="center"/>
    </xf>
    <xf numFmtId="49" fontId="1" fillId="8" borderId="0" xfId="0" applyNumberFormat="1" applyFont="1" applyFill="1">
      <alignment vertical="center"/>
    </xf>
    <xf numFmtId="0" fontId="0" fillId="8" borderId="0" xfId="0" applyFill="1">
      <alignment vertical="center"/>
    </xf>
    <xf numFmtId="0" fontId="5" fillId="8" borderId="0" xfId="0" applyFont="1" applyFill="1">
      <alignment vertical="center"/>
    </xf>
    <xf numFmtId="0" fontId="6" fillId="0" borderId="0" xfId="0" applyFont="1">
      <alignment vertical="center"/>
    </xf>
    <xf numFmtId="24" fontId="6" fillId="0" borderId="0" xfId="0" applyNumberFormat="1" applyFont="1">
      <alignment vertical="center"/>
    </xf>
    <xf numFmtId="49" fontId="1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7"/>
  <sheetViews>
    <sheetView tabSelected="1" workbookViewId="0">
      <selection activeCell="A11" sqref="A11"/>
    </sheetView>
  </sheetViews>
  <sheetFormatPr defaultRowHeight="14.4"/>
  <cols>
    <col min="1" max="1" width="61.88671875" bestFit="1" customWidth="1"/>
    <col min="2" max="2" width="19.33203125" customWidth="1"/>
    <col min="3" max="3" width="29.77734375" customWidth="1"/>
    <col min="4" max="4" width="8.88671875" style="19"/>
    <col min="5" max="5" width="9.109375" bestFit="1" customWidth="1"/>
    <col min="12" max="12" width="17.33203125" bestFit="1" customWidth="1"/>
  </cols>
  <sheetData>
    <row r="1" spans="1:12">
      <c r="A1" s="1"/>
      <c r="B1" s="1"/>
      <c r="C1" s="1"/>
      <c r="D1" s="14" t="s">
        <v>0</v>
      </c>
      <c r="E1" s="2" t="s">
        <v>55</v>
      </c>
      <c r="F1" s="2"/>
      <c r="G1" s="2"/>
      <c r="H1" s="2"/>
      <c r="I1" s="2"/>
    </row>
    <row r="2" spans="1:12">
      <c r="A2" s="1"/>
      <c r="B2" s="1"/>
      <c r="C2" s="1"/>
      <c r="D2" s="15" t="s">
        <v>1</v>
      </c>
      <c r="E2" s="4" t="s">
        <v>30</v>
      </c>
      <c r="F2" s="1"/>
      <c r="G2" s="1"/>
      <c r="H2" s="1"/>
      <c r="I2" s="1"/>
    </row>
    <row r="3" spans="1:12">
      <c r="A3" s="10" t="s">
        <v>23</v>
      </c>
      <c r="B3" s="10" t="s">
        <v>24</v>
      </c>
      <c r="C3" s="5" t="s">
        <v>2</v>
      </c>
      <c r="D3" s="16" t="s">
        <v>3</v>
      </c>
      <c r="E3" s="6" t="s">
        <v>4</v>
      </c>
      <c r="F3" s="7"/>
      <c r="G3" s="7"/>
      <c r="H3" s="7"/>
      <c r="I3" s="8"/>
      <c r="K3" s="27"/>
      <c r="L3" s="28"/>
    </row>
    <row r="4" spans="1:12">
      <c r="A4" s="11" t="s">
        <v>15</v>
      </c>
      <c r="B4" s="11" t="s">
        <v>15</v>
      </c>
      <c r="C4" s="9" t="s">
        <v>10</v>
      </c>
      <c r="D4" s="17">
        <v>1</v>
      </c>
      <c r="E4" s="6" t="str">
        <f>reg($E$1,1,D4)</f>
        <v>81</v>
      </c>
      <c r="F4" s="7"/>
      <c r="G4" s="7"/>
      <c r="H4" s="7"/>
      <c r="I4" s="8"/>
      <c r="K4" s="27"/>
      <c r="L4" s="28"/>
    </row>
    <row r="5" spans="1:12">
      <c r="A5" s="11" t="s">
        <v>16</v>
      </c>
      <c r="B5" s="11" t="s">
        <v>16</v>
      </c>
      <c r="C5" s="9" t="s">
        <v>11</v>
      </c>
      <c r="D5" s="17">
        <v>2</v>
      </c>
      <c r="E5" s="6" t="str">
        <f t="shared" ref="E5:E12" si="0">reg($E$1,1,D5)</f>
        <v>0.17</v>
      </c>
      <c r="F5" s="7"/>
      <c r="G5" s="7"/>
      <c r="H5" s="7"/>
      <c r="I5" s="8"/>
      <c r="K5" s="27"/>
      <c r="L5" s="28"/>
    </row>
    <row r="6" spans="1:12">
      <c r="A6" s="11" t="s">
        <v>17</v>
      </c>
      <c r="B6" s="11" t="s">
        <v>17</v>
      </c>
      <c r="C6" s="9" t="s">
        <v>12</v>
      </c>
      <c r="D6" s="17">
        <v>3</v>
      </c>
      <c r="E6" s="6" t="str">
        <f t="shared" si="0"/>
        <v>nigo</v>
      </c>
      <c r="F6" s="7"/>
      <c r="G6" s="7"/>
      <c r="H6" s="7"/>
      <c r="I6" s="8"/>
      <c r="K6" s="27"/>
      <c r="L6" s="28"/>
    </row>
    <row r="7" spans="1:12">
      <c r="A7" s="11" t="s">
        <v>18</v>
      </c>
      <c r="B7" s="11" t="s">
        <v>18</v>
      </c>
      <c r="C7" s="9" t="s">
        <v>62</v>
      </c>
      <c r="D7" s="17">
        <v>4</v>
      </c>
      <c r="E7" s="6" t="str">
        <f t="shared" si="0"/>
        <v>nigo81</v>
      </c>
      <c r="F7" s="7"/>
      <c r="G7" s="7"/>
      <c r="H7" s="7"/>
      <c r="I7" s="8"/>
      <c r="K7" s="27"/>
      <c r="L7" s="28"/>
    </row>
    <row r="8" spans="1:12">
      <c r="A8" s="11" t="s">
        <v>19</v>
      </c>
      <c r="B8" s="11" t="s">
        <v>19</v>
      </c>
      <c r="C8" s="9" t="s">
        <v>13</v>
      </c>
      <c r="D8" s="17">
        <v>5</v>
      </c>
      <c r="E8" s="6" t="str">
        <f t="shared" si="0"/>
        <v>17%</v>
      </c>
      <c r="F8" s="7"/>
      <c r="G8" s="7"/>
      <c r="H8" s="7"/>
      <c r="I8" s="8"/>
      <c r="K8" s="27"/>
      <c r="L8" s="28"/>
    </row>
    <row r="9" spans="1:12">
      <c r="A9" s="11" t="s">
        <v>20</v>
      </c>
      <c r="B9" s="11" t="s">
        <v>20</v>
      </c>
      <c r="C9" s="9" t="s">
        <v>11</v>
      </c>
      <c r="D9" s="17">
        <v>6</v>
      </c>
      <c r="E9" s="6" t="str">
        <f t="shared" si="0"/>
        <v>81</v>
      </c>
      <c r="F9" s="7"/>
      <c r="G9" s="7"/>
      <c r="H9" s="7"/>
      <c r="I9" s="8"/>
      <c r="K9" s="27"/>
      <c r="L9" s="28"/>
    </row>
    <row r="10" spans="1:12">
      <c r="A10" s="11" t="s">
        <v>21</v>
      </c>
      <c r="B10" s="11" t="s">
        <v>21</v>
      </c>
      <c r="C10" s="9" t="s">
        <v>14</v>
      </c>
      <c r="D10" s="17">
        <v>7</v>
      </c>
      <c r="E10" s="6" t="str">
        <f t="shared" si="0"/>
        <v>提示</v>
      </c>
      <c r="F10" s="7"/>
      <c r="G10" s="7"/>
      <c r="H10" s="7"/>
      <c r="I10" s="8"/>
      <c r="K10" s="27"/>
      <c r="L10" s="28"/>
    </row>
    <row r="11" spans="1:12">
      <c r="A11" s="12" t="s">
        <v>22</v>
      </c>
      <c r="B11" s="12" t="s">
        <v>22</v>
      </c>
      <c r="C11" s="9" t="s">
        <v>29</v>
      </c>
      <c r="D11" s="17">
        <v>8</v>
      </c>
      <c r="E11" s="6" t="str">
        <f t="shared" si="0"/>
        <v>[kagawa]</v>
      </c>
      <c r="F11" s="7"/>
      <c r="G11" s="7"/>
      <c r="H11" s="7"/>
      <c r="I11" s="8"/>
      <c r="K11" s="27"/>
      <c r="L11" s="29"/>
    </row>
    <row r="12" spans="1:12">
      <c r="A12" s="12" t="s">
        <v>57</v>
      </c>
      <c r="B12" s="12" t="s">
        <v>56</v>
      </c>
      <c r="C12" s="9" t="s">
        <v>45</v>
      </c>
      <c r="D12" s="17">
        <v>9</v>
      </c>
      <c r="E12" s="6" t="str">
        <f t="shared" si="0"/>
        <v>“2018年8月12号”</v>
      </c>
      <c r="F12" s="7"/>
      <c r="G12" s="7"/>
      <c r="H12" s="7"/>
      <c r="I12" s="8"/>
      <c r="K12" s="27"/>
      <c r="L12" s="29"/>
    </row>
    <row r="13" spans="1:12">
      <c r="A13" s="1"/>
      <c r="B13" s="1"/>
      <c r="C13" s="1"/>
      <c r="D13" s="13"/>
      <c r="E13" s="1"/>
      <c r="F13" s="1"/>
      <c r="G13" s="1"/>
      <c r="H13" s="1"/>
      <c r="I13" s="1"/>
    </row>
    <row r="14" spans="1:12">
      <c r="A14" s="2" t="s">
        <v>5</v>
      </c>
      <c r="B14" s="3" t="s">
        <v>6</v>
      </c>
      <c r="C14" s="5" t="s">
        <v>7</v>
      </c>
      <c r="D14" s="18" t="s">
        <v>8</v>
      </c>
      <c r="E14" s="6" t="s">
        <v>4</v>
      </c>
      <c r="F14" s="1" t="s">
        <v>9</v>
      </c>
      <c r="G14" s="1"/>
      <c r="H14" s="1"/>
      <c r="I14" s="1"/>
    </row>
    <row r="15" spans="1:12">
      <c r="A15" s="25" t="s">
        <v>31</v>
      </c>
      <c r="B15" s="25">
        <v>3</v>
      </c>
      <c r="C15" s="25" t="s">
        <v>32</v>
      </c>
      <c r="D15" s="25"/>
      <c r="E15" s="25" t="str">
        <f>reg(A15,B15,C15)</f>
        <v>3c</v>
      </c>
      <c r="F15" s="25" t="s">
        <v>33</v>
      </c>
      <c r="G15" s="1"/>
      <c r="H15" s="1"/>
      <c r="I15" s="1"/>
    </row>
    <row r="16" spans="1:12">
      <c r="A16" s="25" t="s">
        <v>31</v>
      </c>
      <c r="B16" s="25">
        <v>-3.1</v>
      </c>
      <c r="C16" s="25" t="s">
        <v>35</v>
      </c>
      <c r="D16" s="25"/>
      <c r="E16" s="25" t="str">
        <f t="shared" ref="E16:E20" si="1">reg(A16,B16,C16)</f>
        <v>3</v>
      </c>
      <c r="F16" s="25" t="s">
        <v>36</v>
      </c>
      <c r="G16" s="1"/>
      <c r="H16" s="1"/>
      <c r="I16" s="1"/>
    </row>
    <row r="17" spans="1:9">
      <c r="A17" s="25" t="s">
        <v>37</v>
      </c>
      <c r="B17" s="25">
        <v>-3.2</v>
      </c>
      <c r="C17" s="25" t="s">
        <v>38</v>
      </c>
      <c r="D17" s="25"/>
      <c r="E17" s="25" t="str">
        <f t="shared" si="1"/>
        <v>c</v>
      </c>
      <c r="F17" s="25" t="s">
        <v>39</v>
      </c>
      <c r="G17" s="1"/>
      <c r="H17" s="1"/>
      <c r="I17" s="1"/>
    </row>
    <row r="18" spans="1:9">
      <c r="A18" s="25" t="s">
        <v>37</v>
      </c>
      <c r="B18" s="25"/>
      <c r="C18" s="25" t="s">
        <v>40</v>
      </c>
      <c r="D18" s="26"/>
      <c r="E18" s="25" t="str">
        <f t="shared" si="1"/>
        <v/>
      </c>
      <c r="F18" s="25" t="s">
        <v>41</v>
      </c>
      <c r="G18" s="1"/>
      <c r="H18" s="1"/>
      <c r="I18" s="1"/>
    </row>
    <row r="19" spans="1:9">
      <c r="A19" s="25" t="s">
        <v>34</v>
      </c>
      <c r="B19" s="25"/>
      <c r="C19" s="25" t="s">
        <v>42</v>
      </c>
      <c r="D19" s="25"/>
      <c r="E19" s="25" t="str">
        <f t="shared" si="1"/>
        <v/>
      </c>
      <c r="F19" s="25" t="s">
        <v>43</v>
      </c>
      <c r="G19" s="1"/>
      <c r="H19" s="1"/>
      <c r="I19" s="1"/>
    </row>
    <row r="20" spans="1:9">
      <c r="A20" s="25" t="s">
        <v>37</v>
      </c>
      <c r="B20" s="25"/>
      <c r="C20" s="25" t="s">
        <v>32</v>
      </c>
      <c r="D20" s="25"/>
      <c r="E20" s="25" t="str">
        <f t="shared" si="1"/>
        <v>_other</v>
      </c>
      <c r="F20" s="25" t="s">
        <v>44</v>
      </c>
      <c r="G20" s="1"/>
      <c r="H20" s="1"/>
      <c r="I20" s="1"/>
    </row>
    <row r="21" spans="1:9" s="23" customFormat="1">
      <c r="A21" s="1" t="s">
        <v>54</v>
      </c>
      <c r="B21" s="21">
        <v>1</v>
      </c>
      <c r="C21" s="21">
        <v>1</v>
      </c>
      <c r="D21" s="22"/>
      <c r="E21" s="21" t="str">
        <f>reg(A21,B21,C21,D21)</f>
        <v>30</v>
      </c>
      <c r="F21" s="21"/>
      <c r="G21" s="21"/>
      <c r="H21" s="21"/>
      <c r="I21" s="21"/>
    </row>
    <row r="22" spans="1:9" s="23" customFormat="1">
      <c r="A22" s="1" t="s">
        <v>46</v>
      </c>
      <c r="B22" s="21">
        <v>1</v>
      </c>
      <c r="C22" s="21">
        <v>2</v>
      </c>
      <c r="D22" s="22"/>
      <c r="E22" s="21" t="str">
        <f t="shared" ref="E22:E37" si="2">reg(A22,B22,C22,D22)</f>
        <v>2579.549</v>
      </c>
      <c r="F22" s="21"/>
      <c r="G22" s="21"/>
      <c r="H22" s="21"/>
      <c r="I22" s="21"/>
    </row>
    <row r="23" spans="1:9" s="23" customFormat="1">
      <c r="A23" s="1" t="s">
        <v>47</v>
      </c>
      <c r="B23" s="21">
        <v>1</v>
      </c>
      <c r="C23" s="21">
        <v>3</v>
      </c>
      <c r="D23" s="22"/>
      <c r="E23" s="21" t="str">
        <f t="shared" si="2"/>
        <v>T</v>
      </c>
      <c r="F23" s="21"/>
      <c r="G23" s="21"/>
      <c r="H23" s="21"/>
      <c r="I23" s="21"/>
    </row>
    <row r="24" spans="1:9" s="23" customFormat="1">
      <c r="A24" s="1" t="s">
        <v>48</v>
      </c>
      <c r="B24" s="21">
        <v>1</v>
      </c>
      <c r="C24" s="21">
        <v>4</v>
      </c>
      <c r="D24" s="22"/>
      <c r="E24" s="21" t="str">
        <f t="shared" si="2"/>
        <v>2579.549T</v>
      </c>
      <c r="F24" s="21"/>
      <c r="G24" s="21"/>
      <c r="H24" s="21"/>
      <c r="I24" s="21"/>
    </row>
    <row r="25" spans="1:9" s="23" customFormat="1">
      <c r="A25" s="1" t="s">
        <v>49</v>
      </c>
      <c r="B25" s="21">
        <v>1</v>
      </c>
      <c r="C25" s="21">
        <v>5</v>
      </c>
      <c r="D25" s="22"/>
      <c r="E25" s="21" t="str">
        <f t="shared" si="2"/>
        <v>30%</v>
      </c>
      <c r="F25" s="21"/>
      <c r="G25" s="24"/>
      <c r="H25" s="21"/>
      <c r="I25" s="21"/>
    </row>
    <row r="26" spans="1:9" s="23" customFormat="1">
      <c r="A26" s="1" t="s">
        <v>50</v>
      </c>
      <c r="B26" s="21">
        <v>1</v>
      </c>
      <c r="C26" s="21">
        <v>6</v>
      </c>
      <c r="D26" s="22"/>
      <c r="E26" s="21" t="str">
        <f t="shared" si="2"/>
        <v>30</v>
      </c>
      <c r="F26" s="21"/>
      <c r="G26" s="21"/>
      <c r="H26" s="21"/>
      <c r="I26" s="21"/>
    </row>
    <row r="27" spans="1:9" s="23" customFormat="1">
      <c r="A27" s="1" t="s">
        <v>51</v>
      </c>
      <c r="B27" s="21">
        <v>1</v>
      </c>
      <c r="C27" s="21">
        <v>7</v>
      </c>
      <c r="D27" s="22"/>
      <c r="E27" s="21" t="str">
        <f t="shared" si="2"/>
        <v>应收化工企业</v>
      </c>
      <c r="F27" s="21"/>
      <c r="G27" s="21"/>
      <c r="H27" s="21"/>
      <c r="I27" s="21"/>
    </row>
    <row r="28" spans="1:9" s="23" customFormat="1">
      <c r="A28" s="1" t="s">
        <v>52</v>
      </c>
      <c r="B28" s="21">
        <v>-1.2</v>
      </c>
      <c r="C28" s="21">
        <v>8</v>
      </c>
      <c r="D28" s="22"/>
      <c r="E28" s="21" t="str">
        <f t="shared" si="2"/>
        <v>07223618-25</v>
      </c>
      <c r="F28" s="21"/>
      <c r="G28" s="21"/>
      <c r="H28" s="21"/>
      <c r="I28" s="21"/>
    </row>
    <row r="29" spans="1:9" s="23" customFormat="1">
      <c r="A29" s="1" t="s">
        <v>53</v>
      </c>
      <c r="B29" s="21">
        <v>-1.2</v>
      </c>
      <c r="C29" s="21">
        <v>9</v>
      </c>
      <c r="D29" s="22"/>
      <c r="E29" s="21" t="str">
        <f t="shared" si="2"/>
        <v>合同号0013</v>
      </c>
      <c r="F29" s="21"/>
      <c r="G29" s="21"/>
      <c r="H29" s="21"/>
      <c r="I29" s="21"/>
    </row>
    <row r="30" spans="1:9" s="23" customFormat="1">
      <c r="A30" s="1" t="s">
        <v>61</v>
      </c>
      <c r="B30" s="21">
        <v>-2.2000000000000002</v>
      </c>
      <c r="C30" s="21">
        <v>8</v>
      </c>
      <c r="D30" s="22"/>
      <c r="E30" s="21" t="str">
        <f t="shared" si="2"/>
        <v>003</v>
      </c>
      <c r="F30" s="21"/>
      <c r="G30" s="21"/>
      <c r="H30" s="21"/>
      <c r="I30" s="21"/>
    </row>
    <row r="31" spans="1:9">
      <c r="A31" s="1" t="s">
        <v>25</v>
      </c>
      <c r="B31" s="1">
        <v>-1.2</v>
      </c>
      <c r="C31" s="1">
        <v>8</v>
      </c>
      <c r="D31" s="13"/>
      <c r="E31" s="21" t="str">
        <f t="shared" si="2"/>
        <v>07235838</v>
      </c>
      <c r="F31" s="1"/>
      <c r="G31" s="1"/>
      <c r="H31" s="1"/>
      <c r="I31" s="1"/>
    </row>
    <row r="32" spans="1:9">
      <c r="A32" s="1" t="s">
        <v>26</v>
      </c>
      <c r="B32" s="1">
        <v>-1.2</v>
      </c>
      <c r="C32" s="1">
        <v>8</v>
      </c>
      <c r="D32" s="13"/>
      <c r="E32" s="21" t="str">
        <f t="shared" si="2"/>
        <v>07235839</v>
      </c>
      <c r="F32" s="1"/>
      <c r="G32" s="1"/>
      <c r="H32" s="1"/>
      <c r="I32" s="1"/>
    </row>
    <row r="33" spans="1:9">
      <c r="A33" s="1" t="s">
        <v>27</v>
      </c>
      <c r="B33" s="1">
        <v>-1.2</v>
      </c>
      <c r="C33" s="1">
        <v>8</v>
      </c>
      <c r="D33" s="13"/>
      <c r="E33" s="21" t="str">
        <f t="shared" si="2"/>
        <v>07235840</v>
      </c>
      <c r="F33" s="1"/>
      <c r="G33" s="1"/>
      <c r="H33" s="1"/>
      <c r="I33" s="1"/>
    </row>
    <row r="34" spans="1:9">
      <c r="A34" s="1" t="s">
        <v>28</v>
      </c>
      <c r="B34" s="1">
        <v>-1.2</v>
      </c>
      <c r="C34" s="1">
        <v>8</v>
      </c>
      <c r="D34" s="13"/>
      <c r="E34" s="21" t="str">
        <f t="shared" si="2"/>
        <v>07235841-42</v>
      </c>
      <c r="F34" s="1"/>
      <c r="G34" s="1"/>
      <c r="H34" s="1"/>
      <c r="I34" s="1"/>
    </row>
    <row r="35" spans="1:9">
      <c r="A35" s="1" t="s">
        <v>58</v>
      </c>
      <c r="B35" s="1">
        <v>1</v>
      </c>
      <c r="C35" s="1">
        <v>4</v>
      </c>
      <c r="D35" s="20"/>
      <c r="E35" s="21" t="str">
        <f t="shared" si="2"/>
        <v>AW20174565465</v>
      </c>
      <c r="F35" s="1"/>
      <c r="G35" s="1"/>
      <c r="H35" s="1"/>
      <c r="I35" s="1"/>
    </row>
    <row r="36" spans="1:9">
      <c r="A36" s="1" t="s">
        <v>59</v>
      </c>
      <c r="B36" s="1">
        <v>1</v>
      </c>
      <c r="C36" s="1">
        <v>4</v>
      </c>
      <c r="D36" s="20"/>
      <c r="E36" s="21" t="str">
        <f t="shared" si="2"/>
        <v>AW20174565465</v>
      </c>
      <c r="F36" s="1"/>
      <c r="G36" s="1"/>
      <c r="H36" s="1"/>
      <c r="I36" s="1"/>
    </row>
    <row r="37" spans="1:9">
      <c r="A37" s="1" t="s">
        <v>60</v>
      </c>
      <c r="B37" s="1">
        <v>1</v>
      </c>
      <c r="C37" s="1">
        <v>4</v>
      </c>
      <c r="D37" s="20"/>
      <c r="E37" s="21" t="str">
        <f t="shared" si="2"/>
        <v>AW20174565465</v>
      </c>
      <c r="F37" s="1"/>
      <c r="G37" s="1"/>
      <c r="H37" s="1"/>
      <c r="I37" s="1"/>
    </row>
  </sheetData>
  <autoFilter ref="A14:F37" xr:uid="{00000000-0009-0000-0000-000000000000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cp:lastPrinted>2018-08-12T14:11:41Z</cp:lastPrinted>
  <dcterms:created xsi:type="dcterms:W3CDTF">2018-07-29T15:09:00Z</dcterms:created>
  <dcterms:modified xsi:type="dcterms:W3CDTF">2019-04-16T14:27:50Z</dcterms:modified>
</cp:coreProperties>
</file>
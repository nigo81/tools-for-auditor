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D:\tools-for-auditor\04_积木式函证生成器\"/>
    </mc:Choice>
  </mc:AlternateContent>
  <xr:revisionPtr revIDLastSave="0" documentId="13_ncr:1_{4747E846-B2B1-492E-920D-A59892AD4F33}" xr6:coauthVersionLast="45" xr6:coauthVersionMax="45" xr10:uidLastSave="{00000000-0000-0000-0000-000000000000}"/>
  <bookViews>
    <workbookView xWindow="-98" yWindow="-98" windowWidth="19396" windowHeight="12196" tabRatio="841" xr2:uid="{00000000-000D-0000-FFFF-FFFF00000000}"/>
  </bookViews>
  <sheets>
    <sheet name="使用说明" sheetId="11" r:id="rId1"/>
    <sheet name="操作平台" sheetId="10" r:id="rId2"/>
    <sheet name="基本信息" sheetId="3" r:id="rId3"/>
    <sheet name="企业询证函模板" sheetId="1" state="hidden" r:id="rId4"/>
    <sheet name="银行询证函模板" sheetId="14" r:id="rId5"/>
    <sheet name="银行询证函模板-新" sheetId="264" state="hidden" r:id="rId6"/>
    <sheet name="支付宝" sheetId="266" state="hidden" r:id="rId7"/>
    <sheet name="微信" sheetId="267" state="hidden" r:id="rId8"/>
    <sheet name="信息服务函证" sheetId="265" state="hidden" r:id="rId9"/>
    <sheet name="银行询证函模板（英文）" sheetId="56" state="hidden" r:id="rId10"/>
    <sheet name="企业询证函（英文）" sheetId="57" state="hidden" r:id="rId11"/>
    <sheet name="英文企业" sheetId="273" state="hidden" r:id="rId12"/>
    <sheet name="工程项目函证模板" sheetId="16" state="hidden" r:id="rId13"/>
    <sheet name="有价证券函证模板" sheetId="15" state="hidden" r:id="rId14"/>
    <sheet name="数据表模板" sheetId="12" state="hidden" r:id="rId15"/>
    <sheet name="三年一期工程项目模板" sheetId="178" state="hidden" r:id="rId16"/>
    <sheet name="替代测试模板" sheetId="90" state="hidden" r:id="rId17"/>
  </sheets>
  <definedNames>
    <definedName name="_ftn1" localSheetId="9">'银行询证函模板（英文）'!#REF!</definedName>
    <definedName name="_ftn2" localSheetId="9">'银行询证函模板（英文）'!#REF!</definedName>
    <definedName name="_ftn3" localSheetId="9">'银行询证函模板（英文）'!#REF!</definedName>
    <definedName name="_ftnref1" localSheetId="9">'银行询证函模板（英文）'!#REF!</definedName>
    <definedName name="_ftnref2" localSheetId="9">'银行询证函模板（英文）'!#REF!</definedName>
    <definedName name="_ftnref3" localSheetId="9">'银行询证函模板（英文）'!#REF!</definedName>
    <definedName name="address" localSheetId="2">基本信息!$E$7</definedName>
    <definedName name="barCode" localSheetId="2">基本信息!$E$2</definedName>
    <definedName name="email" localSheetId="2">基本信息!$E$9</definedName>
    <definedName name="object" localSheetId="2">基本信息!$E$5</definedName>
    <definedName name="postcode" localSheetId="2">基本信息!$E$8</definedName>
    <definedName name="_xlnm.Print_Area" localSheetId="12">工程项目函证模板!$A$1:$E$49</definedName>
    <definedName name="_xlnm.Print_Area" localSheetId="10">'企业询证函（英文）'!$A$1:$F$36</definedName>
    <definedName name="_xlnm.Print_Area" localSheetId="3">企业询证函模板!$A$1:$E$55</definedName>
    <definedName name="_xlnm.Print_Area" localSheetId="15">三年一期工程项目模板!$A$1:$E$54</definedName>
    <definedName name="_xlnm.Print_Area" localSheetId="16">替代测试模板!$A$1:$L$22</definedName>
    <definedName name="_xlnm.Print_Area" localSheetId="7">微信!$A$1:$F$43</definedName>
    <definedName name="_xlnm.Print_Area" localSheetId="8">信息服务函证!$A$1:$H$49</definedName>
    <definedName name="_xlnm.Print_Area" localSheetId="4">银行询证函模板!$A$1:$J$163</definedName>
    <definedName name="_xlnm.Print_Area" localSheetId="9">'银行询证函模板（英文）'!$A$1:$G$109</definedName>
    <definedName name="_xlnm.Print_Area" localSheetId="5">'银行询证函模板-新'!$A$1:$J$173</definedName>
    <definedName name="_xlnm.Print_Area" localSheetId="11">英文企业!$A$1:$E$40</definedName>
    <definedName name="_xlnm.Print_Area" localSheetId="13">有价证券函证模板!$A$1:$G$33</definedName>
    <definedName name="_xlnm.Print_Area" localSheetId="6">支付宝!$A$1:$F$45</definedName>
    <definedName name="year" localSheetId="2">基本信息!$E$6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28" i="178" l="1"/>
  <c r="B28" i="178"/>
  <c r="D22" i="178"/>
  <c r="B22" i="178"/>
  <c r="D16" i="178"/>
  <c r="B16" i="178"/>
  <c r="H4" i="178"/>
  <c r="A4" i="178"/>
  <c r="H3" i="178"/>
  <c r="H2" i="178"/>
  <c r="H1" i="12"/>
  <c r="F1" i="12"/>
  <c r="C22" i="15"/>
  <c r="I5" i="15"/>
  <c r="I4" i="15"/>
  <c r="A4" i="15"/>
  <c r="I3" i="15"/>
  <c r="C31" i="16"/>
  <c r="D21" i="16"/>
  <c r="D16" i="16"/>
  <c r="B16" i="16"/>
  <c r="H4" i="16"/>
  <c r="A4" i="16"/>
  <c r="H3" i="16"/>
  <c r="E3" i="16"/>
  <c r="H2" i="16"/>
  <c r="A4" i="273"/>
  <c r="E3" i="273"/>
  <c r="A4" i="57"/>
  <c r="F3" i="57"/>
  <c r="A22" i="56"/>
  <c r="B10" i="56"/>
  <c r="F4" i="56"/>
  <c r="A2" i="56"/>
  <c r="E32" i="265"/>
  <c r="F19" i="265"/>
  <c r="E19" i="265"/>
  <c r="K5" i="265"/>
  <c r="A5" i="265"/>
  <c r="K3" i="265"/>
  <c r="G3" i="265"/>
  <c r="K2" i="265"/>
  <c r="H5" i="267"/>
  <c r="H3" i="267"/>
  <c r="H2" i="267"/>
  <c r="H5" i="266"/>
  <c r="H3" i="266"/>
  <c r="H2" i="266"/>
  <c r="A17" i="264"/>
  <c r="I6" i="264"/>
  <c r="A6" i="264"/>
  <c r="M5" i="264"/>
  <c r="M4" i="264"/>
  <c r="M3" i="264"/>
  <c r="E116" i="14"/>
  <c r="A13" i="14"/>
  <c r="M4" i="14"/>
  <c r="A4" i="14"/>
  <c r="H3" i="14"/>
  <c r="M2" i="14"/>
  <c r="M1" i="14"/>
  <c r="D36" i="1"/>
  <c r="H5" i="1"/>
  <c r="A5" i="1"/>
  <c r="H3" i="1"/>
  <c r="E3" i="1"/>
  <c r="H2" i="1"/>
  <c r="A704" i="3"/>
  <c r="N704" i="3"/>
  <c r="A703" i="3"/>
  <c r="N703" i="3"/>
  <c r="A702" i="3"/>
  <c r="N702" i="3" s="1"/>
  <c r="A701" i="3"/>
  <c r="N701" i="3" s="1"/>
  <c r="A700" i="3"/>
  <c r="N700" i="3"/>
  <c r="A699" i="3"/>
  <c r="N699" i="3"/>
  <c r="A698" i="3"/>
  <c r="N698" i="3" s="1"/>
  <c r="A697" i="3"/>
  <c r="N697" i="3" s="1"/>
  <c r="A696" i="3"/>
  <c r="N696" i="3"/>
  <c r="A695" i="3"/>
  <c r="N695" i="3"/>
  <c r="A694" i="3"/>
  <c r="N694" i="3" s="1"/>
  <c r="A693" i="3"/>
  <c r="N693" i="3" s="1"/>
  <c r="A692" i="3"/>
  <c r="N692" i="3"/>
  <c r="A691" i="3"/>
  <c r="N691" i="3"/>
  <c r="A690" i="3"/>
  <c r="N690" i="3" s="1"/>
  <c r="A689" i="3"/>
  <c r="N689" i="3" s="1"/>
  <c r="A688" i="3"/>
  <c r="N688" i="3"/>
  <c r="A687" i="3"/>
  <c r="N687" i="3"/>
  <c r="A686" i="3"/>
  <c r="N686" i="3" s="1"/>
  <c r="A685" i="3"/>
  <c r="N685" i="3" s="1"/>
  <c r="A684" i="3"/>
  <c r="N684" i="3"/>
  <c r="A683" i="3"/>
  <c r="N683" i="3"/>
  <c r="A682" i="3"/>
  <c r="N682" i="3" s="1"/>
  <c r="A681" i="3"/>
  <c r="N681" i="3" s="1"/>
  <c r="A680" i="3"/>
  <c r="N680" i="3"/>
  <c r="A679" i="3"/>
  <c r="N679" i="3"/>
  <c r="A678" i="3"/>
  <c r="N678" i="3" s="1"/>
  <c r="A677" i="3"/>
  <c r="N677" i="3" s="1"/>
  <c r="A676" i="3"/>
  <c r="N676" i="3"/>
  <c r="A675" i="3"/>
  <c r="N675" i="3"/>
  <c r="A674" i="3"/>
  <c r="N674" i="3" s="1"/>
  <c r="A673" i="3"/>
  <c r="N673" i="3" s="1"/>
  <c r="A672" i="3"/>
  <c r="N672" i="3"/>
  <c r="A671" i="3"/>
  <c r="N671" i="3"/>
  <c r="A670" i="3"/>
  <c r="N670" i="3" s="1"/>
  <c r="A669" i="3"/>
  <c r="N669" i="3" s="1"/>
  <c r="A668" i="3"/>
  <c r="N668" i="3"/>
  <c r="A667" i="3"/>
  <c r="N667" i="3"/>
  <c r="A666" i="3"/>
  <c r="N666" i="3" s="1"/>
  <c r="A665" i="3"/>
  <c r="N665" i="3" s="1"/>
  <c r="A664" i="3"/>
  <c r="N664" i="3"/>
  <c r="A663" i="3"/>
  <c r="N663" i="3"/>
  <c r="A662" i="3"/>
  <c r="N662" i="3" s="1"/>
  <c r="A661" i="3"/>
  <c r="N661" i="3" s="1"/>
  <c r="A660" i="3"/>
  <c r="N660" i="3"/>
  <c r="A659" i="3"/>
  <c r="N659" i="3"/>
  <c r="A658" i="3"/>
  <c r="N658" i="3" s="1"/>
  <c r="A657" i="3"/>
  <c r="N657" i="3" s="1"/>
  <c r="A656" i="3"/>
  <c r="N656" i="3"/>
  <c r="A655" i="3"/>
  <c r="N655" i="3"/>
  <c r="A654" i="3"/>
  <c r="N654" i="3" s="1"/>
  <c r="A653" i="3"/>
  <c r="N653" i="3" s="1"/>
  <c r="A652" i="3"/>
  <c r="N652" i="3"/>
  <c r="A651" i="3"/>
  <c r="N651" i="3"/>
  <c r="A650" i="3"/>
  <c r="N650" i="3" s="1"/>
  <c r="A649" i="3"/>
  <c r="N649" i="3" s="1"/>
  <c r="A648" i="3"/>
  <c r="N648" i="3"/>
  <c r="A647" i="3"/>
  <c r="N647" i="3"/>
  <c r="A646" i="3"/>
  <c r="N646" i="3" s="1"/>
  <c r="A645" i="3"/>
  <c r="N645" i="3" s="1"/>
  <c r="A644" i="3"/>
  <c r="N644" i="3"/>
  <c r="A643" i="3"/>
  <c r="N643" i="3"/>
  <c r="A642" i="3"/>
  <c r="N642" i="3" s="1"/>
  <c r="A641" i="3"/>
  <c r="N641" i="3" s="1"/>
  <c r="A640" i="3"/>
  <c r="N640" i="3"/>
  <c r="A639" i="3"/>
  <c r="N639" i="3"/>
  <c r="A638" i="3"/>
  <c r="N638" i="3" s="1"/>
  <c r="A637" i="3"/>
  <c r="N637" i="3" s="1"/>
  <c r="A636" i="3"/>
  <c r="N636" i="3"/>
  <c r="A635" i="3"/>
  <c r="N635" i="3"/>
  <c r="A634" i="3"/>
  <c r="N634" i="3" s="1"/>
  <c r="A633" i="3"/>
  <c r="N633" i="3" s="1"/>
  <c r="A632" i="3"/>
  <c r="N632" i="3"/>
  <c r="A631" i="3"/>
  <c r="N631" i="3"/>
  <c r="A630" i="3"/>
  <c r="N630" i="3" s="1"/>
  <c r="A629" i="3"/>
  <c r="N629" i="3" s="1"/>
  <c r="A628" i="3"/>
  <c r="N628" i="3"/>
  <c r="A627" i="3"/>
  <c r="N627" i="3"/>
  <c r="A626" i="3"/>
  <c r="N626" i="3" s="1"/>
  <c r="A625" i="3"/>
  <c r="N625" i="3" s="1"/>
  <c r="A624" i="3"/>
  <c r="N624" i="3"/>
  <c r="A623" i="3"/>
  <c r="N623" i="3"/>
  <c r="A622" i="3"/>
  <c r="N622" i="3" s="1"/>
  <c r="A621" i="3"/>
  <c r="N621" i="3" s="1"/>
  <c r="A620" i="3"/>
  <c r="N620" i="3"/>
  <c r="A619" i="3"/>
  <c r="N619" i="3"/>
  <c r="A618" i="3"/>
  <c r="N618" i="3" s="1"/>
  <c r="A617" i="3"/>
  <c r="N617" i="3" s="1"/>
  <c r="A616" i="3"/>
  <c r="N616" i="3"/>
  <c r="A615" i="3"/>
  <c r="N615" i="3"/>
  <c r="A614" i="3"/>
  <c r="N614" i="3" s="1"/>
  <c r="A613" i="3"/>
  <c r="N613" i="3" s="1"/>
  <c r="A612" i="3"/>
  <c r="N612" i="3"/>
  <c r="A611" i="3"/>
  <c r="N611" i="3"/>
  <c r="A610" i="3"/>
  <c r="N610" i="3" s="1"/>
  <c r="A609" i="3"/>
  <c r="N609" i="3" s="1"/>
  <c r="A608" i="3"/>
  <c r="N608" i="3"/>
  <c r="A607" i="3"/>
  <c r="N607" i="3"/>
  <c r="A606" i="3"/>
  <c r="N606" i="3" s="1"/>
  <c r="A605" i="3"/>
  <c r="N605" i="3" s="1"/>
  <c r="A604" i="3"/>
  <c r="N604" i="3"/>
  <c r="A603" i="3"/>
  <c r="N603" i="3"/>
  <c r="A602" i="3"/>
  <c r="N602" i="3" s="1"/>
  <c r="A601" i="3"/>
  <c r="N601" i="3" s="1"/>
  <c r="A600" i="3"/>
  <c r="N600" i="3"/>
  <c r="A599" i="3"/>
  <c r="N599" i="3"/>
  <c r="A598" i="3"/>
  <c r="N598" i="3" s="1"/>
  <c r="A597" i="3"/>
  <c r="N597" i="3" s="1"/>
  <c r="A596" i="3"/>
  <c r="N596" i="3"/>
  <c r="A595" i="3"/>
  <c r="N595" i="3"/>
  <c r="A594" i="3"/>
  <c r="N594" i="3" s="1"/>
  <c r="A593" i="3"/>
  <c r="N593" i="3" s="1"/>
  <c r="A592" i="3"/>
  <c r="N592" i="3"/>
  <c r="A591" i="3"/>
  <c r="N591" i="3"/>
  <c r="A590" i="3"/>
  <c r="N590" i="3" s="1"/>
  <c r="A589" i="3"/>
  <c r="N589" i="3" s="1"/>
  <c r="A588" i="3"/>
  <c r="N588" i="3"/>
  <c r="A587" i="3"/>
  <c r="N587" i="3"/>
  <c r="A586" i="3"/>
  <c r="N586" i="3" s="1"/>
  <c r="A585" i="3"/>
  <c r="N585" i="3" s="1"/>
  <c r="A584" i="3"/>
  <c r="N584" i="3"/>
  <c r="A583" i="3"/>
  <c r="N583" i="3"/>
  <c r="A582" i="3"/>
  <c r="N582" i="3" s="1"/>
  <c r="A581" i="3"/>
  <c r="N581" i="3" s="1"/>
  <c r="A580" i="3"/>
  <c r="N580" i="3"/>
  <c r="A579" i="3"/>
  <c r="N579" i="3"/>
  <c r="A578" i="3"/>
  <c r="N578" i="3" s="1"/>
  <c r="A577" i="3"/>
  <c r="N577" i="3" s="1"/>
  <c r="A576" i="3"/>
  <c r="N576" i="3"/>
  <c r="A575" i="3"/>
  <c r="N575" i="3"/>
  <c r="A574" i="3"/>
  <c r="N574" i="3" s="1"/>
  <c r="A573" i="3"/>
  <c r="N573" i="3" s="1"/>
  <c r="A572" i="3"/>
  <c r="N572" i="3"/>
  <c r="A571" i="3"/>
  <c r="N571" i="3"/>
  <c r="A570" i="3"/>
  <c r="N570" i="3" s="1"/>
  <c r="A569" i="3"/>
  <c r="N569" i="3" s="1"/>
  <c r="A568" i="3"/>
  <c r="N568" i="3"/>
  <c r="A567" i="3"/>
  <c r="N567" i="3"/>
  <c r="A566" i="3"/>
  <c r="N566" i="3" s="1"/>
  <c r="A565" i="3"/>
  <c r="N565" i="3" s="1"/>
  <c r="A564" i="3"/>
  <c r="N564" i="3"/>
  <c r="A563" i="3"/>
  <c r="N563" i="3"/>
  <c r="A562" i="3"/>
  <c r="N562" i="3" s="1"/>
  <c r="A561" i="3"/>
  <c r="N561" i="3" s="1"/>
  <c r="A560" i="3"/>
  <c r="N560" i="3"/>
  <c r="A559" i="3"/>
  <c r="N559" i="3"/>
  <c r="A558" i="3"/>
  <c r="N558" i="3" s="1"/>
  <c r="A557" i="3"/>
  <c r="N557" i="3" s="1"/>
  <c r="A556" i="3"/>
  <c r="N556" i="3"/>
  <c r="A555" i="3"/>
  <c r="N555" i="3"/>
  <c r="A554" i="3"/>
  <c r="N554" i="3" s="1"/>
  <c r="A553" i="3"/>
  <c r="N553" i="3" s="1"/>
  <c r="A552" i="3"/>
  <c r="N552" i="3"/>
  <c r="A551" i="3"/>
  <c r="N551" i="3"/>
  <c r="A550" i="3"/>
  <c r="N550" i="3" s="1"/>
  <c r="A549" i="3"/>
  <c r="N549" i="3" s="1"/>
  <c r="A548" i="3"/>
  <c r="N548" i="3"/>
  <c r="A547" i="3"/>
  <c r="N547" i="3"/>
  <c r="A546" i="3"/>
  <c r="N546" i="3" s="1"/>
  <c r="A545" i="3"/>
  <c r="N545" i="3" s="1"/>
  <c r="A544" i="3"/>
  <c r="N544" i="3"/>
  <c r="A543" i="3"/>
  <c r="N543" i="3"/>
  <c r="A542" i="3"/>
  <c r="N542" i="3" s="1"/>
  <c r="A541" i="3"/>
  <c r="N541" i="3" s="1"/>
  <c r="A540" i="3"/>
  <c r="N540" i="3"/>
  <c r="A539" i="3"/>
  <c r="N539" i="3"/>
  <c r="A538" i="3"/>
  <c r="N538" i="3" s="1"/>
  <c r="A537" i="3"/>
  <c r="N537" i="3" s="1"/>
  <c r="A536" i="3"/>
  <c r="N536" i="3"/>
  <c r="A535" i="3"/>
  <c r="N535" i="3"/>
  <c r="A534" i="3"/>
  <c r="N534" i="3" s="1"/>
  <c r="A533" i="3"/>
  <c r="N533" i="3" s="1"/>
  <c r="A532" i="3"/>
  <c r="N532" i="3"/>
  <c r="A531" i="3"/>
  <c r="N531" i="3"/>
  <c r="A530" i="3"/>
  <c r="N530" i="3" s="1"/>
  <c r="A529" i="3"/>
  <c r="N529" i="3" s="1"/>
  <c r="A528" i="3"/>
  <c r="N528" i="3"/>
  <c r="A527" i="3"/>
  <c r="N527" i="3"/>
  <c r="A526" i="3"/>
  <c r="N526" i="3" s="1"/>
  <c r="A525" i="3"/>
  <c r="N525" i="3" s="1"/>
  <c r="A524" i="3"/>
  <c r="N524" i="3"/>
  <c r="A523" i="3"/>
  <c r="N523" i="3"/>
  <c r="A522" i="3"/>
  <c r="N522" i="3" s="1"/>
  <c r="A521" i="3"/>
  <c r="N521" i="3" s="1"/>
  <c r="A520" i="3"/>
  <c r="N520" i="3"/>
  <c r="A519" i="3"/>
  <c r="N519" i="3"/>
  <c r="A518" i="3"/>
  <c r="N518" i="3" s="1"/>
  <c r="A517" i="3"/>
  <c r="N517" i="3" s="1"/>
  <c r="A516" i="3"/>
  <c r="N516" i="3"/>
  <c r="A515" i="3"/>
  <c r="N515" i="3"/>
  <c r="A514" i="3"/>
  <c r="N514" i="3" s="1"/>
  <c r="A513" i="3"/>
  <c r="N513" i="3" s="1"/>
  <c r="A512" i="3"/>
  <c r="N512" i="3"/>
  <c r="A511" i="3"/>
  <c r="N511" i="3"/>
  <c r="A510" i="3"/>
  <c r="N510" i="3" s="1"/>
  <c r="A509" i="3"/>
  <c r="N509" i="3" s="1"/>
  <c r="A508" i="3"/>
  <c r="N508" i="3"/>
  <c r="A507" i="3"/>
  <c r="N507" i="3"/>
  <c r="A506" i="3"/>
  <c r="N506" i="3" s="1"/>
  <c r="A505" i="3"/>
  <c r="N505" i="3" s="1"/>
  <c r="A504" i="3"/>
  <c r="N504" i="3"/>
  <c r="A503" i="3"/>
  <c r="N503" i="3"/>
  <c r="A502" i="3"/>
  <c r="N502" i="3" s="1"/>
  <c r="A501" i="3"/>
  <c r="N501" i="3" s="1"/>
  <c r="A500" i="3"/>
  <c r="N500" i="3"/>
  <c r="A499" i="3"/>
  <c r="N499" i="3"/>
  <c r="A498" i="3"/>
  <c r="N498" i="3" s="1"/>
  <c r="A497" i="3"/>
  <c r="N497" i="3" s="1"/>
  <c r="A496" i="3"/>
  <c r="N496" i="3"/>
  <c r="A495" i="3"/>
  <c r="N495" i="3"/>
  <c r="A494" i="3"/>
  <c r="N494" i="3" s="1"/>
  <c r="A493" i="3"/>
  <c r="N493" i="3" s="1"/>
  <c r="A492" i="3"/>
  <c r="N492" i="3"/>
  <c r="A491" i="3"/>
  <c r="N491" i="3"/>
  <c r="A490" i="3"/>
  <c r="N490" i="3" s="1"/>
  <c r="A489" i="3"/>
  <c r="N489" i="3" s="1"/>
  <c r="A488" i="3"/>
  <c r="N488" i="3"/>
  <c r="A487" i="3"/>
  <c r="N487" i="3"/>
  <c r="A486" i="3"/>
  <c r="N486" i="3" s="1"/>
  <c r="A485" i="3"/>
  <c r="N485" i="3" s="1"/>
  <c r="A484" i="3"/>
  <c r="N484" i="3"/>
  <c r="A483" i="3"/>
  <c r="N483" i="3"/>
  <c r="A482" i="3"/>
  <c r="N482" i="3" s="1"/>
  <c r="A481" i="3"/>
  <c r="N481" i="3" s="1"/>
  <c r="A480" i="3"/>
  <c r="N480" i="3"/>
  <c r="A479" i="3"/>
  <c r="N479" i="3"/>
  <c r="A478" i="3"/>
  <c r="N478" i="3" s="1"/>
  <c r="A477" i="3"/>
  <c r="N477" i="3" s="1"/>
  <c r="A476" i="3"/>
  <c r="N476" i="3"/>
  <c r="A475" i="3"/>
  <c r="N475" i="3"/>
  <c r="A474" i="3"/>
  <c r="N474" i="3" s="1"/>
  <c r="A473" i="3"/>
  <c r="N473" i="3" s="1"/>
  <c r="A472" i="3"/>
  <c r="N472" i="3"/>
  <c r="A471" i="3"/>
  <c r="N471" i="3"/>
  <c r="A470" i="3"/>
  <c r="N470" i="3" s="1"/>
  <c r="A469" i="3"/>
  <c r="N469" i="3" s="1"/>
  <c r="A468" i="3"/>
  <c r="N468" i="3"/>
  <c r="A467" i="3"/>
  <c r="N467" i="3"/>
  <c r="A466" i="3"/>
  <c r="N466" i="3" s="1"/>
  <c r="A465" i="3"/>
  <c r="N465" i="3" s="1"/>
  <c r="A464" i="3"/>
  <c r="N464" i="3"/>
  <c r="A463" i="3"/>
  <c r="N463" i="3"/>
  <c r="A462" i="3"/>
  <c r="N462" i="3" s="1"/>
  <c r="A461" i="3"/>
  <c r="N461" i="3" s="1"/>
  <c r="A460" i="3"/>
  <c r="N460" i="3"/>
  <c r="A459" i="3"/>
  <c r="N459" i="3"/>
  <c r="A458" i="3"/>
  <c r="N458" i="3" s="1"/>
  <c r="A457" i="3"/>
  <c r="N457" i="3" s="1"/>
  <c r="A456" i="3"/>
  <c r="N456" i="3"/>
  <c r="A455" i="3"/>
  <c r="N455" i="3"/>
  <c r="A454" i="3"/>
  <c r="N454" i="3" s="1"/>
  <c r="A453" i="3"/>
  <c r="N453" i="3" s="1"/>
  <c r="A452" i="3"/>
  <c r="N452" i="3"/>
  <c r="A451" i="3"/>
  <c r="N451" i="3"/>
  <c r="A450" i="3"/>
  <c r="N450" i="3" s="1"/>
  <c r="A449" i="3"/>
  <c r="N449" i="3" s="1"/>
  <c r="A448" i="3"/>
  <c r="N448" i="3"/>
  <c r="A447" i="3"/>
  <c r="N447" i="3"/>
  <c r="A446" i="3"/>
  <c r="N446" i="3" s="1"/>
  <c r="A445" i="3"/>
  <c r="N445" i="3" s="1"/>
  <c r="A444" i="3"/>
  <c r="N444" i="3"/>
  <c r="A443" i="3"/>
  <c r="N443" i="3"/>
  <c r="A442" i="3"/>
  <c r="N442" i="3" s="1"/>
  <c r="A441" i="3"/>
  <c r="N441" i="3" s="1"/>
  <c r="A440" i="3"/>
  <c r="N440" i="3"/>
  <c r="A439" i="3"/>
  <c r="N439" i="3"/>
  <c r="A438" i="3"/>
  <c r="N438" i="3" s="1"/>
  <c r="A437" i="3"/>
  <c r="N437" i="3" s="1"/>
  <c r="A436" i="3"/>
  <c r="N436" i="3"/>
  <c r="A435" i="3"/>
  <c r="N435" i="3"/>
  <c r="A434" i="3"/>
  <c r="N434" i="3" s="1"/>
  <c r="A433" i="3"/>
  <c r="N433" i="3" s="1"/>
  <c r="A432" i="3"/>
  <c r="N432" i="3"/>
  <c r="A431" i="3"/>
  <c r="N431" i="3"/>
  <c r="A430" i="3"/>
  <c r="N430" i="3" s="1"/>
  <c r="A429" i="3"/>
  <c r="N429" i="3" s="1"/>
  <c r="A428" i="3"/>
  <c r="N428" i="3"/>
  <c r="A427" i="3"/>
  <c r="N427" i="3"/>
  <c r="A426" i="3"/>
  <c r="N426" i="3" s="1"/>
  <c r="A425" i="3"/>
  <c r="N425" i="3" s="1"/>
  <c r="A424" i="3"/>
  <c r="N424" i="3"/>
  <c r="A423" i="3"/>
  <c r="N423" i="3"/>
  <c r="A422" i="3"/>
  <c r="N422" i="3" s="1"/>
  <c r="A421" i="3"/>
  <c r="N421" i="3" s="1"/>
  <c r="A420" i="3"/>
  <c r="N420" i="3"/>
  <c r="A419" i="3"/>
  <c r="N419" i="3" s="1"/>
  <c r="A418" i="3"/>
  <c r="N418" i="3" s="1"/>
  <c r="A417" i="3"/>
  <c r="N417" i="3" s="1"/>
  <c r="A416" i="3"/>
  <c r="N416" i="3"/>
  <c r="A415" i="3"/>
  <c r="N415" i="3" s="1"/>
  <c r="A414" i="3"/>
  <c r="N414" i="3" s="1"/>
  <c r="A413" i="3"/>
  <c r="N413" i="3" s="1"/>
  <c r="A412" i="3"/>
  <c r="N412" i="3"/>
  <c r="A411" i="3"/>
  <c r="N411" i="3" s="1"/>
  <c r="A410" i="3"/>
  <c r="N410" i="3" s="1"/>
  <c r="A409" i="3"/>
  <c r="N409" i="3" s="1"/>
  <c r="A408" i="3"/>
  <c r="N408" i="3"/>
  <c r="A407" i="3"/>
  <c r="N407" i="3"/>
  <c r="A406" i="3"/>
  <c r="N406" i="3" s="1"/>
  <c r="A405" i="3"/>
  <c r="N405" i="3" s="1"/>
  <c r="A404" i="3"/>
  <c r="N404" i="3"/>
  <c r="A403" i="3"/>
  <c r="N403" i="3" s="1"/>
  <c r="A402" i="3"/>
  <c r="N402" i="3" s="1"/>
  <c r="A401" i="3"/>
  <c r="N401" i="3" s="1"/>
  <c r="A400" i="3"/>
  <c r="N400" i="3"/>
  <c r="A399" i="3"/>
  <c r="N399" i="3" s="1"/>
  <c r="A398" i="3"/>
  <c r="N398" i="3" s="1"/>
  <c r="A397" i="3"/>
  <c r="N397" i="3" s="1"/>
  <c r="A396" i="3"/>
  <c r="N396" i="3"/>
  <c r="A395" i="3"/>
  <c r="N395" i="3" s="1"/>
  <c r="A394" i="3"/>
  <c r="N394" i="3" s="1"/>
  <c r="A393" i="3"/>
  <c r="N393" i="3" s="1"/>
  <c r="A392" i="3"/>
  <c r="N392" i="3"/>
  <c r="A391" i="3"/>
  <c r="N391" i="3"/>
  <c r="A390" i="3"/>
  <c r="N390" i="3" s="1"/>
  <c r="A389" i="3"/>
  <c r="N389" i="3" s="1"/>
  <c r="A388" i="3"/>
  <c r="N388" i="3"/>
  <c r="A387" i="3"/>
  <c r="N387" i="3" s="1"/>
  <c r="A386" i="3"/>
  <c r="N386" i="3" s="1"/>
  <c r="A385" i="3"/>
  <c r="N385" i="3" s="1"/>
  <c r="A384" i="3"/>
  <c r="N384" i="3"/>
  <c r="A383" i="3"/>
  <c r="N383" i="3" s="1"/>
  <c r="A382" i="3"/>
  <c r="N382" i="3" s="1"/>
  <c r="A381" i="3"/>
  <c r="N381" i="3" s="1"/>
  <c r="A380" i="3"/>
  <c r="N380" i="3"/>
  <c r="A379" i="3"/>
  <c r="N379" i="3" s="1"/>
  <c r="A378" i="3"/>
  <c r="N378" i="3" s="1"/>
  <c r="A377" i="3"/>
  <c r="N377" i="3" s="1"/>
  <c r="A376" i="3"/>
  <c r="N376" i="3"/>
  <c r="A375" i="3"/>
  <c r="N375" i="3"/>
  <c r="A374" i="3"/>
  <c r="N374" i="3" s="1"/>
  <c r="A373" i="3"/>
  <c r="N373" i="3" s="1"/>
  <c r="A372" i="3"/>
  <c r="N372" i="3"/>
  <c r="A371" i="3"/>
  <c r="N371" i="3" s="1"/>
  <c r="A370" i="3"/>
  <c r="N370" i="3" s="1"/>
  <c r="A369" i="3"/>
  <c r="N369" i="3" s="1"/>
  <c r="A368" i="3"/>
  <c r="N368" i="3"/>
  <c r="A367" i="3"/>
  <c r="N367" i="3" s="1"/>
  <c r="A366" i="3"/>
  <c r="N366" i="3" s="1"/>
  <c r="A365" i="3"/>
  <c r="N365" i="3" s="1"/>
  <c r="A364" i="3"/>
  <c r="N364" i="3"/>
  <c r="A363" i="3"/>
  <c r="N363" i="3" s="1"/>
  <c r="A362" i="3"/>
  <c r="N362" i="3" s="1"/>
  <c r="A361" i="3"/>
  <c r="N361" i="3" s="1"/>
  <c r="A360" i="3"/>
  <c r="N360" i="3"/>
  <c r="A359" i="3"/>
  <c r="N359" i="3" s="1"/>
  <c r="A358" i="3"/>
  <c r="N358" i="3" s="1"/>
  <c r="A357" i="3"/>
  <c r="N357" i="3" s="1"/>
  <c r="A356" i="3"/>
  <c r="N356" i="3"/>
  <c r="A355" i="3"/>
  <c r="N355" i="3" s="1"/>
  <c r="A354" i="3"/>
  <c r="N354" i="3" s="1"/>
  <c r="A353" i="3"/>
  <c r="N353" i="3" s="1"/>
  <c r="A352" i="3"/>
  <c r="N352" i="3"/>
  <c r="A351" i="3"/>
  <c r="N351" i="3" s="1"/>
  <c r="A350" i="3"/>
  <c r="N350" i="3" s="1"/>
  <c r="A349" i="3"/>
  <c r="N349" i="3" s="1"/>
  <c r="A348" i="3"/>
  <c r="N348" i="3"/>
  <c r="A347" i="3"/>
  <c r="N347" i="3"/>
  <c r="A346" i="3"/>
  <c r="N346" i="3" s="1"/>
  <c r="A345" i="3"/>
  <c r="N345" i="3" s="1"/>
  <c r="A344" i="3"/>
  <c r="N344" i="3"/>
  <c r="A343" i="3"/>
  <c r="N343" i="3" s="1"/>
  <c r="A342" i="3"/>
  <c r="N342" i="3" s="1"/>
  <c r="A341" i="3"/>
  <c r="N341" i="3" s="1"/>
  <c r="A340" i="3"/>
  <c r="N340" i="3"/>
  <c r="A339" i="3"/>
  <c r="N339" i="3" s="1"/>
  <c r="A338" i="3"/>
  <c r="N338" i="3" s="1"/>
  <c r="A337" i="3"/>
  <c r="N337" i="3" s="1"/>
  <c r="A336" i="3"/>
  <c r="N336" i="3"/>
  <c r="A335" i="3"/>
  <c r="N335" i="3" s="1"/>
  <c r="A334" i="3"/>
  <c r="N334" i="3" s="1"/>
  <c r="A333" i="3"/>
  <c r="N333" i="3" s="1"/>
  <c r="A332" i="3"/>
  <c r="N332" i="3"/>
  <c r="A331" i="3"/>
  <c r="N331" i="3"/>
  <c r="A330" i="3"/>
  <c r="N330" i="3" s="1"/>
  <c r="A329" i="3"/>
  <c r="N329" i="3" s="1"/>
  <c r="A328" i="3"/>
  <c r="N328" i="3"/>
  <c r="A327" i="3"/>
  <c r="N327" i="3" s="1"/>
  <c r="A326" i="3"/>
  <c r="N326" i="3" s="1"/>
  <c r="A325" i="3"/>
  <c r="N325" i="3" s="1"/>
  <c r="A324" i="3"/>
  <c r="N324" i="3"/>
  <c r="A323" i="3"/>
  <c r="N323" i="3" s="1"/>
  <c r="A322" i="3"/>
  <c r="N322" i="3" s="1"/>
  <c r="A321" i="3"/>
  <c r="N321" i="3" s="1"/>
  <c r="A320" i="3"/>
  <c r="N320" i="3"/>
  <c r="A319" i="3"/>
  <c r="N319" i="3" s="1"/>
  <c r="A318" i="3"/>
  <c r="N318" i="3" s="1"/>
  <c r="A317" i="3"/>
  <c r="N317" i="3" s="1"/>
  <c r="A316" i="3"/>
  <c r="N316" i="3"/>
  <c r="A315" i="3"/>
  <c r="N315" i="3"/>
  <c r="A314" i="3"/>
  <c r="N314" i="3" s="1"/>
  <c r="A313" i="3"/>
  <c r="N313" i="3" s="1"/>
  <c r="A312" i="3"/>
  <c r="N312" i="3"/>
  <c r="A311" i="3"/>
  <c r="N311" i="3" s="1"/>
  <c r="A310" i="3"/>
  <c r="N310" i="3" s="1"/>
  <c r="A309" i="3"/>
  <c r="N309" i="3" s="1"/>
  <c r="A308" i="3"/>
  <c r="N308" i="3"/>
  <c r="A307" i="3"/>
  <c r="N307" i="3" s="1"/>
  <c r="A306" i="3"/>
  <c r="N306" i="3" s="1"/>
  <c r="A305" i="3"/>
  <c r="N305" i="3" s="1"/>
  <c r="A304" i="3"/>
  <c r="N304" i="3"/>
  <c r="A303" i="3"/>
  <c r="N303" i="3" s="1"/>
  <c r="A302" i="3"/>
  <c r="N302" i="3" s="1"/>
  <c r="A301" i="3"/>
  <c r="N301" i="3" s="1"/>
  <c r="A300" i="3"/>
  <c r="N300" i="3"/>
  <c r="A299" i="3"/>
  <c r="N299" i="3"/>
  <c r="A298" i="3"/>
  <c r="N298" i="3" s="1"/>
  <c r="A297" i="3"/>
  <c r="N297" i="3" s="1"/>
  <c r="A296" i="3"/>
  <c r="N296" i="3"/>
  <c r="A295" i="3"/>
  <c r="N295" i="3" s="1"/>
  <c r="A294" i="3"/>
  <c r="N294" i="3" s="1"/>
  <c r="A293" i="3"/>
  <c r="N293" i="3" s="1"/>
  <c r="A292" i="3"/>
  <c r="N292" i="3"/>
  <c r="A291" i="3"/>
  <c r="N291" i="3" s="1"/>
  <c r="A290" i="3"/>
  <c r="N290" i="3" s="1"/>
  <c r="A289" i="3"/>
  <c r="N289" i="3" s="1"/>
  <c r="A288" i="3"/>
  <c r="N288" i="3"/>
  <c r="A287" i="3"/>
  <c r="N287" i="3" s="1"/>
  <c r="A286" i="3"/>
  <c r="N286" i="3" s="1"/>
  <c r="A285" i="3"/>
  <c r="N285" i="3" s="1"/>
  <c r="A284" i="3"/>
  <c r="N284" i="3"/>
  <c r="A283" i="3"/>
  <c r="N283" i="3"/>
  <c r="A282" i="3"/>
  <c r="N282" i="3" s="1"/>
  <c r="A281" i="3"/>
  <c r="N281" i="3" s="1"/>
  <c r="A280" i="3"/>
  <c r="N280" i="3"/>
  <c r="A279" i="3"/>
  <c r="N279" i="3" s="1"/>
  <c r="A278" i="3"/>
  <c r="N278" i="3" s="1"/>
  <c r="A277" i="3"/>
  <c r="N277" i="3" s="1"/>
  <c r="A276" i="3"/>
  <c r="N276" i="3"/>
  <c r="A275" i="3"/>
  <c r="N275" i="3" s="1"/>
  <c r="A274" i="3"/>
  <c r="N274" i="3" s="1"/>
  <c r="A273" i="3"/>
  <c r="N273" i="3" s="1"/>
  <c r="A272" i="3"/>
  <c r="N272" i="3"/>
  <c r="A271" i="3"/>
  <c r="N271" i="3" s="1"/>
  <c r="A270" i="3"/>
  <c r="N270" i="3" s="1"/>
  <c r="A269" i="3"/>
  <c r="N269" i="3" s="1"/>
  <c r="A268" i="3"/>
  <c r="N268" i="3"/>
  <c r="A267" i="3"/>
  <c r="N267" i="3"/>
  <c r="A266" i="3"/>
  <c r="N266" i="3" s="1"/>
  <c r="A265" i="3"/>
  <c r="N265" i="3" s="1"/>
  <c r="A264" i="3"/>
  <c r="N264" i="3"/>
  <c r="A263" i="3"/>
  <c r="N263" i="3" s="1"/>
  <c r="A262" i="3"/>
  <c r="N262" i="3" s="1"/>
  <c r="A261" i="3"/>
  <c r="N261" i="3" s="1"/>
  <c r="A260" i="3"/>
  <c r="N260" i="3"/>
  <c r="A259" i="3"/>
  <c r="N259" i="3" s="1"/>
  <c r="A258" i="3"/>
  <c r="N258" i="3" s="1"/>
  <c r="A257" i="3"/>
  <c r="N257" i="3" s="1"/>
  <c r="A256" i="3"/>
  <c r="N256" i="3"/>
  <c r="A255" i="3"/>
  <c r="N255" i="3" s="1"/>
  <c r="A254" i="3"/>
  <c r="N254" i="3" s="1"/>
  <c r="A253" i="3"/>
  <c r="N253" i="3" s="1"/>
  <c r="A252" i="3"/>
  <c r="N252" i="3"/>
  <c r="A251" i="3"/>
  <c r="N251" i="3"/>
  <c r="A250" i="3"/>
  <c r="N250" i="3" s="1"/>
  <c r="A249" i="3"/>
  <c r="N249" i="3" s="1"/>
  <c r="A248" i="3"/>
  <c r="N248" i="3"/>
  <c r="A247" i="3"/>
  <c r="N247" i="3" s="1"/>
  <c r="A246" i="3"/>
  <c r="N246" i="3" s="1"/>
  <c r="A245" i="3"/>
  <c r="N245" i="3" s="1"/>
  <c r="A244" i="3"/>
  <c r="N244" i="3"/>
  <c r="A243" i="3"/>
  <c r="N243" i="3" s="1"/>
  <c r="A242" i="3"/>
  <c r="N242" i="3" s="1"/>
  <c r="A241" i="3"/>
  <c r="N241" i="3" s="1"/>
  <c r="A240" i="3"/>
  <c r="N240" i="3"/>
  <c r="A239" i="3"/>
  <c r="N239" i="3" s="1"/>
  <c r="A238" i="3"/>
  <c r="N238" i="3" s="1"/>
  <c r="A237" i="3"/>
  <c r="N237" i="3" s="1"/>
  <c r="A236" i="3"/>
  <c r="N236" i="3" s="1"/>
  <c r="A235" i="3"/>
  <c r="N235" i="3"/>
  <c r="A234" i="3"/>
  <c r="N234" i="3" s="1"/>
  <c r="A233" i="3"/>
  <c r="N233" i="3" s="1"/>
  <c r="A232" i="3"/>
  <c r="N232" i="3" s="1"/>
  <c r="A231" i="3"/>
  <c r="N231" i="3" s="1"/>
  <c r="A230" i="3"/>
  <c r="N230" i="3" s="1"/>
  <c r="A229" i="3"/>
  <c r="N229" i="3" s="1"/>
  <c r="A228" i="3"/>
  <c r="N228" i="3" s="1"/>
  <c r="A227" i="3"/>
  <c r="N227" i="3" s="1"/>
  <c r="A226" i="3"/>
  <c r="N226" i="3" s="1"/>
  <c r="A225" i="3"/>
  <c r="N225" i="3" s="1"/>
  <c r="A224" i="3"/>
  <c r="N224" i="3"/>
  <c r="A223" i="3"/>
  <c r="N223" i="3" s="1"/>
  <c r="A222" i="3"/>
  <c r="N222" i="3" s="1"/>
  <c r="A221" i="3"/>
  <c r="N221" i="3" s="1"/>
  <c r="A220" i="3"/>
  <c r="N220" i="3" s="1"/>
  <c r="A219" i="3"/>
  <c r="N219" i="3"/>
  <c r="A218" i="3"/>
  <c r="N218" i="3" s="1"/>
  <c r="A217" i="3"/>
  <c r="N217" i="3" s="1"/>
  <c r="A216" i="3"/>
  <c r="N216" i="3" s="1"/>
  <c r="A215" i="3"/>
  <c r="N215" i="3" s="1"/>
  <c r="A214" i="3"/>
  <c r="N214" i="3" s="1"/>
  <c r="A213" i="3"/>
  <c r="N213" i="3" s="1"/>
  <c r="A212" i="3"/>
  <c r="N212" i="3" s="1"/>
  <c r="A211" i="3"/>
  <c r="N211" i="3" s="1"/>
  <c r="A210" i="3"/>
  <c r="N210" i="3" s="1"/>
  <c r="A209" i="3"/>
  <c r="N209" i="3" s="1"/>
  <c r="A208" i="3"/>
  <c r="N208" i="3"/>
  <c r="A207" i="3"/>
  <c r="N207" i="3" s="1"/>
  <c r="A206" i="3"/>
  <c r="N206" i="3" s="1"/>
  <c r="A205" i="3"/>
  <c r="N205" i="3" s="1"/>
  <c r="A204" i="3"/>
  <c r="N204" i="3" s="1"/>
  <c r="A203" i="3"/>
  <c r="N203" i="3"/>
  <c r="A202" i="3"/>
  <c r="N202" i="3" s="1"/>
  <c r="A201" i="3"/>
  <c r="N201" i="3" s="1"/>
  <c r="A200" i="3"/>
  <c r="N200" i="3" s="1"/>
  <c r="A199" i="3"/>
  <c r="N199" i="3" s="1"/>
  <c r="A198" i="3"/>
  <c r="N198" i="3" s="1"/>
  <c r="A197" i="3"/>
  <c r="N197" i="3" s="1"/>
  <c r="A196" i="3"/>
  <c r="N196" i="3" s="1"/>
  <c r="A195" i="3"/>
  <c r="N195" i="3" s="1"/>
  <c r="A194" i="3"/>
  <c r="N194" i="3" s="1"/>
  <c r="A193" i="3"/>
  <c r="N193" i="3" s="1"/>
  <c r="A192" i="3"/>
  <c r="N192" i="3"/>
  <c r="A191" i="3"/>
  <c r="N191" i="3" s="1"/>
  <c r="A190" i="3"/>
  <c r="N190" i="3" s="1"/>
  <c r="A189" i="3"/>
  <c r="N189" i="3" s="1"/>
  <c r="A188" i="3"/>
  <c r="N188" i="3" s="1"/>
  <c r="A187" i="3"/>
  <c r="N187" i="3"/>
  <c r="A186" i="3"/>
  <c r="N186" i="3" s="1"/>
  <c r="A185" i="3"/>
  <c r="N185" i="3" s="1"/>
  <c r="A184" i="3"/>
  <c r="N184" i="3" s="1"/>
  <c r="A183" i="3"/>
  <c r="N183" i="3" s="1"/>
  <c r="A182" i="3"/>
  <c r="N182" i="3" s="1"/>
  <c r="A181" i="3"/>
  <c r="N181" i="3" s="1"/>
  <c r="A180" i="3"/>
  <c r="N180" i="3" s="1"/>
  <c r="A179" i="3"/>
  <c r="N179" i="3" s="1"/>
  <c r="A178" i="3"/>
  <c r="N178" i="3" s="1"/>
  <c r="A177" i="3"/>
  <c r="N177" i="3" s="1"/>
  <c r="A176" i="3"/>
  <c r="N176" i="3"/>
  <c r="A175" i="3"/>
  <c r="N175" i="3" s="1"/>
  <c r="A174" i="3"/>
  <c r="N174" i="3" s="1"/>
  <c r="A173" i="3"/>
  <c r="N173" i="3" s="1"/>
  <c r="A172" i="3"/>
  <c r="N172" i="3" s="1"/>
  <c r="A171" i="3"/>
  <c r="N171" i="3"/>
  <c r="A170" i="3"/>
  <c r="N170" i="3" s="1"/>
  <c r="A169" i="3"/>
  <c r="N169" i="3" s="1"/>
  <c r="A168" i="3"/>
  <c r="N168" i="3" s="1"/>
  <c r="A167" i="3"/>
  <c r="N167" i="3" s="1"/>
  <c r="A166" i="3"/>
  <c r="N166" i="3" s="1"/>
  <c r="A165" i="3"/>
  <c r="N165" i="3" s="1"/>
  <c r="A164" i="3"/>
  <c r="N164" i="3" s="1"/>
  <c r="A163" i="3"/>
  <c r="N163" i="3" s="1"/>
  <c r="A162" i="3"/>
  <c r="N162" i="3" s="1"/>
  <c r="A161" i="3"/>
  <c r="N161" i="3" s="1"/>
  <c r="A160" i="3"/>
  <c r="N160" i="3"/>
  <c r="A159" i="3"/>
  <c r="N159" i="3" s="1"/>
  <c r="A158" i="3"/>
  <c r="N158" i="3" s="1"/>
  <c r="A157" i="3"/>
  <c r="N157" i="3" s="1"/>
  <c r="A156" i="3"/>
  <c r="N156" i="3" s="1"/>
  <c r="A155" i="3"/>
  <c r="N155" i="3"/>
  <c r="A154" i="3"/>
  <c r="N154" i="3" s="1"/>
  <c r="A153" i="3"/>
  <c r="N153" i="3" s="1"/>
  <c r="A152" i="3"/>
  <c r="N152" i="3" s="1"/>
  <c r="A151" i="3"/>
  <c r="N151" i="3" s="1"/>
  <c r="A150" i="3"/>
  <c r="N150" i="3" s="1"/>
  <c r="A149" i="3"/>
  <c r="N149" i="3" s="1"/>
  <c r="A148" i="3"/>
  <c r="N148" i="3" s="1"/>
  <c r="A147" i="3"/>
  <c r="N147" i="3" s="1"/>
  <c r="A146" i="3"/>
  <c r="N146" i="3" s="1"/>
  <c r="A145" i="3"/>
  <c r="N145" i="3" s="1"/>
  <c r="A144" i="3"/>
  <c r="N144" i="3"/>
  <c r="A143" i="3"/>
  <c r="N143" i="3" s="1"/>
  <c r="A142" i="3"/>
  <c r="N142" i="3" s="1"/>
  <c r="A141" i="3"/>
  <c r="N141" i="3" s="1"/>
  <c r="A140" i="3"/>
  <c r="N140" i="3" s="1"/>
  <c r="A139" i="3"/>
  <c r="N139" i="3"/>
  <c r="A138" i="3"/>
  <c r="N138" i="3" s="1"/>
  <c r="A137" i="3"/>
  <c r="N137" i="3" s="1"/>
  <c r="A136" i="3"/>
  <c r="N136" i="3" s="1"/>
  <c r="A135" i="3"/>
  <c r="N135" i="3" s="1"/>
  <c r="A134" i="3"/>
  <c r="N134" i="3" s="1"/>
  <c r="A133" i="3"/>
  <c r="N133" i="3"/>
  <c r="A132" i="3"/>
  <c r="N132" i="3"/>
  <c r="A131" i="3"/>
  <c r="N131" i="3"/>
  <c r="A130" i="3"/>
  <c r="N130" i="3" s="1"/>
  <c r="A129" i="3"/>
  <c r="N129" i="3"/>
  <c r="A128" i="3"/>
  <c r="N128" i="3" s="1"/>
  <c r="A127" i="3"/>
  <c r="N127" i="3" s="1"/>
  <c r="A126" i="3"/>
  <c r="N126" i="3" s="1"/>
  <c r="A125" i="3"/>
  <c r="N125" i="3"/>
  <c r="A124" i="3"/>
  <c r="N124" i="3"/>
  <c r="A123" i="3"/>
  <c r="N123" i="3"/>
  <c r="A122" i="3"/>
  <c r="N122" i="3" s="1"/>
  <c r="A121" i="3"/>
  <c r="N121" i="3" s="1"/>
  <c r="A120" i="3"/>
  <c r="N120" i="3"/>
  <c r="A119" i="3"/>
  <c r="N119" i="3" s="1"/>
  <c r="A118" i="3"/>
  <c r="N118" i="3" s="1"/>
  <c r="A117" i="3"/>
  <c r="N117" i="3"/>
  <c r="A116" i="3"/>
  <c r="N116" i="3"/>
  <c r="A115" i="3"/>
  <c r="N115" i="3"/>
  <c r="A114" i="3"/>
  <c r="N114" i="3" s="1"/>
  <c r="A113" i="3"/>
  <c r="N113" i="3" s="1"/>
  <c r="A112" i="3"/>
  <c r="N112" i="3" s="1"/>
  <c r="A111" i="3"/>
  <c r="N111" i="3"/>
  <c r="A110" i="3"/>
  <c r="N110" i="3" s="1"/>
  <c r="A109" i="3"/>
  <c r="N109" i="3"/>
  <c r="A108" i="3"/>
  <c r="N108" i="3"/>
  <c r="A107" i="3"/>
  <c r="N107" i="3"/>
  <c r="A106" i="3"/>
  <c r="N106" i="3" s="1"/>
  <c r="A105" i="3"/>
  <c r="N105" i="3" s="1"/>
  <c r="A104" i="3"/>
  <c r="N104" i="3" s="1"/>
  <c r="A103" i="3"/>
  <c r="N103" i="3" s="1"/>
  <c r="A102" i="3"/>
  <c r="N102" i="3" s="1"/>
  <c r="A101" i="3"/>
  <c r="N101" i="3"/>
  <c r="A100" i="3"/>
  <c r="N100" i="3"/>
  <c r="A99" i="3"/>
  <c r="N99" i="3"/>
  <c r="A98" i="3"/>
  <c r="N98" i="3" s="1"/>
  <c r="A97" i="3"/>
  <c r="N97" i="3"/>
  <c r="A96" i="3"/>
  <c r="N96" i="3" s="1"/>
  <c r="A95" i="3"/>
  <c r="N95" i="3" s="1"/>
  <c r="A94" i="3"/>
  <c r="N94" i="3" s="1"/>
  <c r="A93" i="3"/>
  <c r="N93" i="3"/>
  <c r="A92" i="3"/>
  <c r="N92" i="3"/>
  <c r="A91" i="3"/>
  <c r="N91" i="3"/>
  <c r="A90" i="3"/>
  <c r="N90" i="3" s="1"/>
  <c r="A89" i="3"/>
  <c r="N89" i="3" s="1"/>
  <c r="A88" i="3"/>
  <c r="N88" i="3"/>
  <c r="A87" i="3"/>
  <c r="N87" i="3" s="1"/>
  <c r="A86" i="3"/>
  <c r="N86" i="3" s="1"/>
  <c r="A85" i="3"/>
  <c r="N85" i="3"/>
  <c r="A84" i="3"/>
  <c r="N84" i="3"/>
  <c r="A83" i="3"/>
  <c r="N83" i="3"/>
  <c r="A82" i="3"/>
  <c r="N82" i="3" s="1"/>
  <c r="A81" i="3"/>
  <c r="N81" i="3" s="1"/>
  <c r="A80" i="3"/>
  <c r="N80" i="3" s="1"/>
  <c r="A79" i="3"/>
  <c r="N79" i="3"/>
  <c r="A78" i="3"/>
  <c r="N78" i="3" s="1"/>
  <c r="A77" i="3"/>
  <c r="N77" i="3"/>
  <c r="A76" i="3"/>
  <c r="N76" i="3"/>
  <c r="A75" i="3"/>
  <c r="N75" i="3"/>
  <c r="A74" i="3"/>
  <c r="N74" i="3" s="1"/>
  <c r="A73" i="3"/>
  <c r="N73" i="3" s="1"/>
  <c r="A72" i="3"/>
  <c r="N72" i="3" s="1"/>
  <c r="A71" i="3"/>
  <c r="N71" i="3" s="1"/>
  <c r="A70" i="3"/>
  <c r="N70" i="3" s="1"/>
  <c r="A69" i="3"/>
  <c r="N69" i="3"/>
  <c r="A68" i="3"/>
  <c r="N68" i="3"/>
  <c r="A67" i="3"/>
  <c r="N67" i="3"/>
  <c r="A66" i="3"/>
  <c r="N66" i="3" s="1"/>
  <c r="A65" i="3"/>
  <c r="N65" i="3"/>
  <c r="A64" i="3"/>
  <c r="N64" i="3" s="1"/>
  <c r="A63" i="3"/>
  <c r="N63" i="3" s="1"/>
  <c r="A62" i="3"/>
  <c r="N62" i="3" s="1"/>
  <c r="A61" i="3"/>
  <c r="N61" i="3"/>
  <c r="A60" i="3"/>
  <c r="N60" i="3"/>
  <c r="A59" i="3"/>
  <c r="N59" i="3"/>
  <c r="A58" i="3"/>
  <c r="N58" i="3" s="1"/>
  <c r="A57" i="3"/>
  <c r="N57" i="3" s="1"/>
  <c r="A56" i="3"/>
  <c r="N56" i="3"/>
  <c r="A55" i="3"/>
  <c r="N55" i="3" s="1"/>
  <c r="A54" i="3"/>
  <c r="N54" i="3" s="1"/>
  <c r="A53" i="3"/>
  <c r="N53" i="3"/>
  <c r="A52" i="3"/>
  <c r="N52" i="3"/>
  <c r="A51" i="3"/>
  <c r="N51" i="3"/>
  <c r="A50" i="3"/>
  <c r="N50" i="3" s="1"/>
  <c r="A49" i="3"/>
  <c r="N49" i="3" s="1"/>
  <c r="A48" i="3"/>
  <c r="N48" i="3" s="1"/>
  <c r="A47" i="3"/>
  <c r="N47" i="3"/>
  <c r="A46" i="3"/>
  <c r="N46" i="3" s="1"/>
  <c r="A45" i="3"/>
  <c r="N45" i="3"/>
  <c r="A44" i="3"/>
  <c r="N44" i="3"/>
  <c r="A43" i="3"/>
  <c r="N43" i="3"/>
  <c r="A42" i="3"/>
  <c r="N42" i="3" s="1"/>
  <c r="A41" i="3"/>
  <c r="N41" i="3" s="1"/>
  <c r="A40" i="3"/>
  <c r="N40" i="3" s="1"/>
  <c r="A39" i="3"/>
  <c r="N39" i="3" s="1"/>
  <c r="A38" i="3"/>
  <c r="N38" i="3"/>
  <c r="A37" i="3"/>
  <c r="N37" i="3" s="1"/>
  <c r="A36" i="3"/>
  <c r="N36" i="3" s="1"/>
  <c r="A35" i="3"/>
  <c r="N35" i="3" s="1"/>
  <c r="A34" i="3"/>
  <c r="N34" i="3"/>
  <c r="A33" i="3"/>
  <c r="N33" i="3" s="1"/>
  <c r="A32" i="3"/>
  <c r="N32" i="3" s="1"/>
  <c r="A31" i="3"/>
  <c r="N31" i="3" s="1"/>
  <c r="A30" i="3"/>
  <c r="N30" i="3"/>
  <c r="A29" i="3"/>
  <c r="N29" i="3" s="1"/>
  <c r="A28" i="3"/>
  <c r="N28" i="3" s="1"/>
  <c r="A27" i="3"/>
  <c r="N27" i="3" s="1"/>
  <c r="A26" i="3"/>
  <c r="N26" i="3"/>
  <c r="A25" i="3"/>
  <c r="N25" i="3" s="1"/>
  <c r="A24" i="3"/>
  <c r="N24" i="3" s="1"/>
  <c r="A23" i="3"/>
  <c r="N23" i="3" s="1"/>
  <c r="A22" i="3"/>
  <c r="N22" i="3"/>
  <c r="A21" i="3"/>
  <c r="N21" i="3" s="1"/>
  <c r="A20" i="3"/>
  <c r="N20" i="3" s="1"/>
  <c r="A19" i="3"/>
  <c r="N19" i="3" s="1"/>
  <c r="A18" i="3"/>
  <c r="N18" i="3"/>
  <c r="A17" i="3"/>
  <c r="N17" i="3" s="1"/>
  <c r="A16" i="3"/>
  <c r="N16" i="3" s="1"/>
  <c r="A15" i="3"/>
  <c r="N15" i="3" s="1"/>
  <c r="A14" i="3"/>
  <c r="N14" i="3"/>
  <c r="A13" i="3"/>
  <c r="N13" i="3" s="1"/>
  <c r="A12" i="3"/>
  <c r="N12" i="3" s="1"/>
  <c r="A11" i="3"/>
  <c r="N11" i="3" s="1"/>
  <c r="A10" i="3"/>
  <c r="N10" i="3"/>
  <c r="A9" i="3"/>
  <c r="N9" i="3" s="1"/>
  <c r="A8" i="3"/>
  <c r="N8" i="3" s="1"/>
  <c r="A7" i="3"/>
  <c r="N7" i="3" s="1"/>
  <c r="A6" i="3"/>
  <c r="N6" i="3"/>
  <c r="A5" i="3"/>
  <c r="N5" i="3" s="1"/>
  <c r="A4" i="3"/>
  <c r="N4" i="3" s="1"/>
  <c r="A3" i="3"/>
  <c r="N3" i="3" s="1"/>
  <c r="A2" i="3"/>
  <c r="N2" i="3"/>
  <c r="N1" i="3"/>
  <c r="A28" i="10"/>
  <c r="A27" i="10"/>
  <c r="A26" i="10"/>
  <c r="A25" i="10"/>
  <c r="A24" i="10"/>
  <c r="A23" i="10"/>
  <c r="A22" i="10"/>
  <c r="A21" i="10"/>
  <c r="A20" i="10"/>
  <c r="A19" i="10"/>
  <c r="A18" i="10"/>
  <c r="A17" i="10"/>
  <c r="A16" i="10"/>
  <c r="A15" i="10"/>
  <c r="C12" i="10"/>
  <c r="C11" i="10"/>
  <c r="C10" i="10"/>
  <c r="C9" i="10"/>
  <c r="D6" i="10"/>
  <c r="A14" i="11"/>
  <c r="A13" i="11"/>
  <c r="A12" i="11"/>
  <c r="A11" i="11"/>
  <c r="A10" i="11"/>
  <c r="A9" i="11"/>
  <c r="A8" i="11"/>
  <c r="A7" i="11"/>
  <c r="A6" i="11"/>
  <c r="A5" i="11"/>
  <c r="A4" i="11"/>
  <c r="A3" i="11"/>
  <c r="A2" i="11"/>
  <c r="K1" i="11"/>
  <c r="H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LC</author>
  </authors>
  <commentList>
    <comment ref="E1" authorId="0" shapeId="0" xr:uid="{00000000-0006-0000-0200-000001000000}">
      <text>
        <r>
          <rPr>
            <b/>
            <sz val="9"/>
            <rFont val="宋体"/>
            <family val="3"/>
            <charset val="134"/>
          </rPr>
          <t>LC:</t>
        </r>
        <r>
          <rPr>
            <sz val="9"/>
            <rFont val="宋体"/>
            <family val="3"/>
            <charset val="134"/>
          </rPr>
          <t xml:space="preserve">
用于存放部分每张询证函唯一的信息，比如授权扣款的银行账户等</t>
        </r>
      </text>
    </comment>
    <comment ref="F1" authorId="0" shapeId="0" xr:uid="{00000000-0006-0000-0200-000002000000}">
      <text>
        <r>
          <rPr>
            <b/>
            <sz val="9"/>
            <rFont val="宋体"/>
            <family val="3"/>
            <charset val="134"/>
          </rPr>
          <t>LC:</t>
        </r>
        <r>
          <rPr>
            <sz val="9"/>
            <rFont val="宋体"/>
            <family val="3"/>
            <charset val="134"/>
          </rPr>
          <t xml:space="preserve">
是否重打，
此列之后可以任意插列不影响询证函的生成</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L14" authorId="0" shapeId="0" xr:uid="{00000000-0006-0000-0B00-000001000000}">
      <text>
        <r>
          <rPr>
            <b/>
            <sz val="9"/>
            <rFont val="宋体"/>
            <family val="3"/>
            <charset val="134"/>
          </rPr>
          <t>Administrator:</t>
        </r>
        <r>
          <rPr>
            <sz val="9"/>
            <rFont val="宋体"/>
            <family val="3"/>
            <charset val="134"/>
          </rPr>
          <t xml:space="preserve">
内容可更改</t>
        </r>
      </text>
    </comment>
    <comment ref="M14" authorId="0" shapeId="0" xr:uid="{00000000-0006-0000-0B00-000002000000}">
      <text>
        <r>
          <rPr>
            <b/>
            <sz val="9"/>
            <rFont val="宋体"/>
            <family val="3"/>
            <charset val="134"/>
          </rPr>
          <t>Administrator:</t>
        </r>
        <r>
          <rPr>
            <sz val="9"/>
            <rFont val="宋体"/>
            <family val="3"/>
            <charset val="134"/>
          </rPr>
          <t xml:space="preserve">
内容可更改</t>
        </r>
      </text>
    </comment>
    <comment ref="N14" authorId="0" shapeId="0" xr:uid="{00000000-0006-0000-0B00-000003000000}">
      <text>
        <r>
          <rPr>
            <b/>
            <sz val="9"/>
            <rFont val="宋体"/>
            <family val="3"/>
            <charset val="134"/>
          </rPr>
          <t>Administrator:</t>
        </r>
        <r>
          <rPr>
            <sz val="9"/>
            <rFont val="宋体"/>
            <family val="3"/>
            <charset val="134"/>
          </rPr>
          <t xml:space="preserve">
内容可更改</t>
        </r>
      </text>
    </comment>
    <comment ref="O14" authorId="0" shapeId="0" xr:uid="{00000000-0006-0000-0B00-000004000000}">
      <text>
        <r>
          <rPr>
            <b/>
            <sz val="9"/>
            <rFont val="宋体"/>
            <family val="3"/>
            <charset val="134"/>
          </rPr>
          <t>Administrator:</t>
        </r>
        <r>
          <rPr>
            <sz val="9"/>
            <rFont val="宋体"/>
            <family val="3"/>
            <charset val="134"/>
          </rPr>
          <t xml:space="preserve">
内容可更改</t>
        </r>
      </text>
    </comment>
    <comment ref="P14" authorId="0" shapeId="0" xr:uid="{00000000-0006-0000-0B00-000005000000}">
      <text>
        <r>
          <rPr>
            <b/>
            <sz val="9"/>
            <rFont val="宋体"/>
            <family val="3"/>
            <charset val="134"/>
          </rPr>
          <t>Administrator:</t>
        </r>
        <r>
          <rPr>
            <sz val="9"/>
            <rFont val="宋体"/>
            <family val="3"/>
            <charset val="134"/>
          </rPr>
          <t xml:space="preserve">
内容可更改</t>
        </r>
      </text>
    </comment>
    <comment ref="L15" authorId="0" shapeId="0" xr:uid="{00000000-0006-0000-0B00-000006000000}">
      <text>
        <r>
          <rPr>
            <b/>
            <sz val="9"/>
            <rFont val="宋体"/>
            <family val="3"/>
            <charset val="134"/>
          </rPr>
          <t>Administrator:</t>
        </r>
        <r>
          <rPr>
            <sz val="9"/>
            <rFont val="宋体"/>
            <family val="3"/>
            <charset val="134"/>
          </rPr>
          <t xml:space="preserve">
内容可更改</t>
        </r>
      </text>
    </comment>
    <comment ref="M15" authorId="0" shapeId="0" xr:uid="{00000000-0006-0000-0B00-000007000000}">
      <text>
        <r>
          <rPr>
            <b/>
            <sz val="9"/>
            <rFont val="宋体"/>
            <family val="3"/>
            <charset val="134"/>
          </rPr>
          <t>Administrator:</t>
        </r>
        <r>
          <rPr>
            <sz val="9"/>
            <rFont val="宋体"/>
            <family val="3"/>
            <charset val="134"/>
          </rPr>
          <t xml:space="preserve">
内容可更改</t>
        </r>
      </text>
    </comment>
    <comment ref="N15" authorId="0" shapeId="0" xr:uid="{00000000-0006-0000-0B00-000008000000}">
      <text>
        <r>
          <rPr>
            <b/>
            <sz val="9"/>
            <rFont val="宋体"/>
            <family val="3"/>
            <charset val="134"/>
          </rPr>
          <t>Administrator:</t>
        </r>
        <r>
          <rPr>
            <sz val="9"/>
            <rFont val="宋体"/>
            <family val="3"/>
            <charset val="134"/>
          </rPr>
          <t xml:space="preserve">
内容可更改</t>
        </r>
      </text>
    </comment>
    <comment ref="O15" authorId="0" shapeId="0" xr:uid="{00000000-0006-0000-0B00-000009000000}">
      <text>
        <r>
          <rPr>
            <b/>
            <sz val="9"/>
            <rFont val="宋体"/>
            <family val="3"/>
            <charset val="134"/>
          </rPr>
          <t>Administrator:</t>
        </r>
        <r>
          <rPr>
            <sz val="9"/>
            <rFont val="宋体"/>
            <family val="3"/>
            <charset val="134"/>
          </rPr>
          <t xml:space="preserve">
内容可更改</t>
        </r>
      </text>
    </comment>
    <comment ref="P15" authorId="0" shapeId="0" xr:uid="{00000000-0006-0000-0B00-00000A000000}">
      <text>
        <r>
          <rPr>
            <b/>
            <sz val="9"/>
            <rFont val="宋体"/>
            <family val="3"/>
            <charset val="134"/>
          </rPr>
          <t>Administrator:</t>
        </r>
        <r>
          <rPr>
            <sz val="9"/>
            <rFont val="宋体"/>
            <family val="3"/>
            <charset val="134"/>
          </rPr>
          <t xml:space="preserve">
内容可更改</t>
        </r>
      </text>
    </comment>
    <comment ref="A18" authorId="0" shapeId="0" xr:uid="{00000000-0006-0000-0B00-00000B000000}">
      <text>
        <r>
          <rPr>
            <b/>
            <sz val="9"/>
            <rFont val="宋体"/>
            <family val="3"/>
            <charset val="134"/>
          </rPr>
          <t>Administrator:</t>
        </r>
        <r>
          <rPr>
            <sz val="9"/>
            <rFont val="宋体"/>
            <family val="3"/>
            <charset val="134"/>
          </rPr>
          <t xml:space="preserve">
内容可更改</t>
        </r>
      </text>
    </comment>
    <comment ref="A19" authorId="0" shapeId="0" xr:uid="{00000000-0006-0000-0B00-00000C000000}">
      <text>
        <r>
          <rPr>
            <b/>
            <sz val="9"/>
            <rFont val="宋体"/>
            <family val="3"/>
            <charset val="134"/>
          </rPr>
          <t>Administrator:</t>
        </r>
        <r>
          <rPr>
            <sz val="9"/>
            <rFont val="宋体"/>
            <family val="3"/>
            <charset val="134"/>
          </rPr>
          <t xml:space="preserve">
内容可更改</t>
        </r>
      </text>
    </comment>
    <comment ref="B19" authorId="0" shapeId="0" xr:uid="{00000000-0006-0000-0B00-00000D000000}">
      <text>
        <r>
          <rPr>
            <b/>
            <sz val="9"/>
            <rFont val="宋体"/>
            <family val="3"/>
            <charset val="134"/>
          </rPr>
          <t>Administrator:</t>
        </r>
        <r>
          <rPr>
            <sz val="9"/>
            <rFont val="宋体"/>
            <family val="3"/>
            <charset val="134"/>
          </rPr>
          <t xml:space="preserve">
内容可更改</t>
        </r>
      </text>
    </comment>
    <comment ref="C19" authorId="0" shapeId="0" xr:uid="{00000000-0006-0000-0B00-00000E000000}">
      <text>
        <r>
          <rPr>
            <b/>
            <sz val="9"/>
            <rFont val="宋体"/>
            <family val="3"/>
            <charset val="134"/>
          </rPr>
          <t>Administrator:</t>
        </r>
        <r>
          <rPr>
            <sz val="9"/>
            <rFont val="宋体"/>
            <family val="3"/>
            <charset val="134"/>
          </rPr>
          <t xml:space="preserve">
内容可更改</t>
        </r>
      </text>
    </comment>
    <comment ref="D19" authorId="0" shapeId="0" xr:uid="{00000000-0006-0000-0B00-00000F000000}">
      <text>
        <r>
          <rPr>
            <b/>
            <sz val="9"/>
            <rFont val="宋体"/>
            <family val="3"/>
            <charset val="134"/>
          </rPr>
          <t>Administrator:</t>
        </r>
        <r>
          <rPr>
            <sz val="9"/>
            <rFont val="宋体"/>
            <family val="3"/>
            <charset val="134"/>
          </rPr>
          <t xml:space="preserve">
内容可更改</t>
        </r>
      </text>
    </comment>
    <comment ref="E19" authorId="0" shapeId="0" xr:uid="{00000000-0006-0000-0B00-000010000000}">
      <text>
        <r>
          <rPr>
            <b/>
            <sz val="9"/>
            <rFont val="宋体"/>
            <family val="3"/>
            <charset val="134"/>
          </rPr>
          <t>Administrator:</t>
        </r>
        <r>
          <rPr>
            <sz val="9"/>
            <rFont val="宋体"/>
            <family val="3"/>
            <charset val="134"/>
          </rPr>
          <t xml:space="preserve">
内容可更改</t>
        </r>
      </text>
    </comment>
    <comment ref="A23" authorId="0" shapeId="0" xr:uid="{00000000-0006-0000-0B00-000011000000}">
      <text>
        <r>
          <rPr>
            <b/>
            <sz val="9"/>
            <rFont val="宋体"/>
            <family val="3"/>
            <charset val="134"/>
          </rPr>
          <t>Administrator:</t>
        </r>
        <r>
          <rPr>
            <sz val="9"/>
            <rFont val="宋体"/>
            <family val="3"/>
            <charset val="134"/>
          </rPr>
          <t xml:space="preserve">
内容可更改</t>
        </r>
      </text>
    </comment>
    <comment ref="A24" authorId="0" shapeId="0" xr:uid="{00000000-0006-0000-0B00-000012000000}">
      <text>
        <r>
          <rPr>
            <b/>
            <sz val="9"/>
            <rFont val="宋体"/>
            <family val="3"/>
            <charset val="134"/>
          </rPr>
          <t>Administrator:</t>
        </r>
        <r>
          <rPr>
            <sz val="9"/>
            <rFont val="宋体"/>
            <family val="3"/>
            <charset val="134"/>
          </rPr>
          <t xml:space="preserve">
内容可更改</t>
        </r>
      </text>
    </comment>
    <comment ref="B24" authorId="0" shapeId="0" xr:uid="{00000000-0006-0000-0B00-000013000000}">
      <text>
        <r>
          <rPr>
            <b/>
            <sz val="9"/>
            <rFont val="宋体"/>
            <family val="3"/>
            <charset val="134"/>
          </rPr>
          <t>Administrator:</t>
        </r>
        <r>
          <rPr>
            <sz val="9"/>
            <rFont val="宋体"/>
            <family val="3"/>
            <charset val="134"/>
          </rPr>
          <t xml:space="preserve">
内容可更改</t>
        </r>
      </text>
    </comment>
    <comment ref="C24" authorId="0" shapeId="0" xr:uid="{00000000-0006-0000-0B00-000014000000}">
      <text>
        <r>
          <rPr>
            <b/>
            <sz val="9"/>
            <rFont val="宋体"/>
            <family val="3"/>
            <charset val="134"/>
          </rPr>
          <t>Administrator:</t>
        </r>
        <r>
          <rPr>
            <sz val="9"/>
            <rFont val="宋体"/>
            <family val="3"/>
            <charset val="134"/>
          </rPr>
          <t xml:space="preserve">
内容可更改</t>
        </r>
      </text>
    </comment>
    <comment ref="D24" authorId="0" shapeId="0" xr:uid="{00000000-0006-0000-0B00-000015000000}">
      <text>
        <r>
          <rPr>
            <b/>
            <sz val="9"/>
            <rFont val="宋体"/>
            <family val="3"/>
            <charset val="134"/>
          </rPr>
          <t>Administrator:</t>
        </r>
        <r>
          <rPr>
            <sz val="9"/>
            <rFont val="宋体"/>
            <family val="3"/>
            <charset val="134"/>
          </rPr>
          <t xml:space="preserve">
内容可更改</t>
        </r>
      </text>
    </comment>
    <comment ref="E24" authorId="0" shapeId="0" xr:uid="{00000000-0006-0000-0B00-000016000000}">
      <text>
        <r>
          <rPr>
            <b/>
            <sz val="9"/>
            <rFont val="宋体"/>
            <family val="3"/>
            <charset val="134"/>
          </rPr>
          <t>Administrator:</t>
        </r>
        <r>
          <rPr>
            <sz val="9"/>
            <rFont val="宋体"/>
            <family val="3"/>
            <charset val="134"/>
          </rPr>
          <t xml:space="preserve">
内容可更改</t>
        </r>
      </text>
    </comment>
    <comment ref="A32" authorId="0" shapeId="0" xr:uid="{00000000-0006-0000-0B00-000017000000}">
      <text>
        <r>
          <rPr>
            <b/>
            <sz val="9"/>
            <rFont val="宋体"/>
            <family val="3"/>
            <charset val="134"/>
          </rPr>
          <t>Administrator:</t>
        </r>
        <r>
          <rPr>
            <sz val="9"/>
            <rFont val="宋体"/>
            <family val="3"/>
            <charset val="134"/>
          </rPr>
          <t xml:space="preserve">
内容可更改</t>
        </r>
      </text>
    </comment>
  </commentList>
</comments>
</file>

<file path=xl/sharedStrings.xml><?xml version="1.0" encoding="utf-8"?>
<sst xmlns="http://schemas.openxmlformats.org/spreadsheetml/2006/main" count="1818" uniqueCount="693">
  <si>
    <r>
      <rPr>
        <b/>
        <sz val="11"/>
        <color theme="1"/>
        <rFont val="等线"/>
        <family val="3"/>
        <charset val="134"/>
        <scheme val="minor"/>
      </rPr>
      <t xml:space="preserve">序号
</t>
    </r>
    <r>
      <rPr>
        <b/>
        <sz val="6"/>
        <color theme="1"/>
        <rFont val="等线"/>
        <family val="3"/>
        <charset val="134"/>
        <scheme val="minor"/>
      </rPr>
      <t>(操作显示后点击跳转)</t>
    </r>
  </si>
  <si>
    <t>模板池列表</t>
  </si>
  <si>
    <t>注意事项与使用说明</t>
  </si>
  <si>
    <t>企业询证函模板</t>
  </si>
  <si>
    <t>版本更新记录：</t>
  </si>
  <si>
    <t>银行询证函模板</t>
  </si>
  <si>
    <t>日期</t>
  </si>
  <si>
    <t>版本</t>
  </si>
  <si>
    <t>更新内容</t>
  </si>
  <si>
    <t>工程项目函证模板</t>
  </si>
  <si>
    <t>V5.7</t>
  </si>
  <si>
    <t>函证排版操作升级：
1.所有由模板生成的事项的行高列宽都随着函证模板中的表头自动适应。(注意：内容的字体大小、格式边框、自动换行跟以前一样都是在数据表进行调整的）</t>
  </si>
  <si>
    <t>有价证券函证模板</t>
  </si>
  <si>
    <t>V5.6</t>
  </si>
  <si>
    <t>1.升级了二维码生成与清除模块，可以对生成和清除范围进行选择，解决了之前无法生成的BUG。
2.新增"英文企业"函证模板。
3.补充完整"企业询证函（英文）"函证模板参数信息。
4.补充"银行询证函模板（英文）"函证模板参数信息。
5.调整"银行询证函模板"排版与格式。</t>
  </si>
  <si>
    <t>银行询证函模板（英文）</t>
  </si>
  <si>
    <t>V5.4</t>
  </si>
  <si>
    <t>1.修正了一下生成非标过渡文档word，第一行数据没有生成的BUG
2.增加支付宝、微信的询证函模板。
3.增加“非标过渡文档”与询证函模板不在同一文件夹下的报错说明。</t>
  </si>
  <si>
    <t>企业询证函（英文）</t>
  </si>
  <si>
    <t>V5.3</t>
  </si>
  <si>
    <t>1.增加“银行询证函-新”模板
2.增加未生成数据表，直接生成询证函时的报错提示。
3.修复基本信息只填写一行数据时，无法删除函证的BUG</t>
  </si>
  <si>
    <t>替代测试模板</t>
  </si>
  <si>
    <t>V5.2</t>
  </si>
  <si>
    <t>1.修正选号生成PDF功能，将生成的PDF作为"1.公司名称.pdf"保存
2.修正内置银行询证函模板，托收承兑对应的行数应当是76行，之前填写错误。</t>
  </si>
  <si>
    <t>三年一期工程项目模板</t>
  </si>
  <si>
    <t>V5.1</t>
  </si>
  <si>
    <t>1.修正工程项目询证函模板参数
2.修正往来函证模板参数</t>
  </si>
  <si>
    <t>银行询证函模板-新</t>
  </si>
  <si>
    <t>V5.0</t>
  </si>
  <si>
    <t>1.增加生成非标过渡功能（天健）函证系统适用，可以用于生成一个用于导入的word函件，不然无法上传发出指令</t>
  </si>
  <si>
    <t>信息服务函证</t>
  </si>
  <si>
    <t>V4.9</t>
  </si>
  <si>
    <t>1.增加二维码删除功能。
2.增加单个函证打印功能
3.将数据表模板默认为隐藏</t>
  </si>
  <si>
    <t>支付宝</t>
  </si>
  <si>
    <t>V4.8</t>
  </si>
  <si>
    <t>1.增加生成二维码功能。
2.修正了删除询证函与删除数据表的代码，如果对应表格不存在时不会报错。</t>
  </si>
  <si>
    <t>微信</t>
  </si>
  <si>
    <t>V4.5</t>
  </si>
  <si>
    <t>1.修正了生成函证功能只有一张数据表时会报错的BUG</t>
  </si>
  <si>
    <t>英文企业</t>
  </si>
  <si>
    <t>V4.0</t>
  </si>
  <si>
    <t>1.添加各种类型函证模板
2.给每一句VBA代码都写上中文</t>
  </si>
  <si>
    <t>V1.0</t>
  </si>
  <si>
    <t>1.初步达到预定使用状态</t>
  </si>
  <si>
    <t>注意事项：</t>
  </si>
  <si>
    <t>1.本询证函模板可以允许模板使用者自由的对模板进行插行插列的修改，只需要修改对应的参数，原理上来说可以所有询证函（包括银行，往来，存货等）的生成要求，由于其便于修改和搭建，就像搭积木一样简单。固将其命名成"积木式询证函模板"。</t>
  </si>
  <si>
    <t>2.对方单位名称，被审计单位名称，条形码索引号均使用INDEX+MATCH公式匹配到对应的询证函中，可以自行修改。</t>
  </si>
  <si>
    <t>3.条形码索引号便于函证的扫码登记，必须安装对应的条形码字体C39HrP36DlTt才能使用，后续有可能会修改成自动生成的二维码</t>
  </si>
  <si>
    <t>4.注意修改数据表中的字体与边框，格式会原封不动的贴到生成的询证函中</t>
  </si>
  <si>
    <t>林铖</t>
  </si>
  <si>
    <t>积木式询证函模板</t>
  </si>
  <si>
    <t>操作平台终止列</t>
  </si>
  <si>
    <t>N</t>
  </si>
  <si>
    <t>函证模板终止列</t>
  </si>
  <si>
    <t>J</t>
  </si>
  <si>
    <t>数据模板终止列</t>
  </si>
  <si>
    <t>K</t>
  </si>
  <si>
    <t>索引号单元格</t>
  </si>
  <si>
    <t>H4</t>
  </si>
  <si>
    <t>选用模板</t>
  </si>
  <si>
    <t>二维码</t>
  </si>
  <si>
    <t>I1</t>
  </si>
  <si>
    <t>二维码宽度</t>
  </si>
  <si>
    <t>跳转链接</t>
  </si>
  <si>
    <t>序号</t>
  </si>
  <si>
    <t>数据表名称</t>
  </si>
  <si>
    <t>对应模板数据填写行（从小到大排列）</t>
  </si>
  <si>
    <t>索引号</t>
  </si>
  <si>
    <t>数据对应列表头</t>
  </si>
  <si>
    <t>存款</t>
  </si>
  <si>
    <t>账户名称</t>
  </si>
  <si>
    <t>银行账号</t>
  </si>
  <si>
    <t>币种</t>
  </si>
  <si>
    <t>利率</t>
  </si>
  <si>
    <t>账户类型</t>
  </si>
  <si>
    <t>余额</t>
  </si>
  <si>
    <t>起止日期</t>
  </si>
  <si>
    <t>是否用于担保或存在其他使用限制</t>
  </si>
  <si>
    <t>备注</t>
  </si>
  <si>
    <t>借款</t>
  </si>
  <si>
    <t>借款人名称</t>
  </si>
  <si>
    <t>借款日期</t>
  </si>
  <si>
    <t>到期日期</t>
  </si>
  <si>
    <t>抵（质）押品/担保人</t>
  </si>
  <si>
    <t>销户</t>
  </si>
  <si>
    <t>注销账户日</t>
  </si>
  <si>
    <t>委托贷款贷款方</t>
  </si>
  <si>
    <t>资金借入方</t>
  </si>
  <si>
    <t>贷款起止日期</t>
  </si>
  <si>
    <t>委托借款借款方</t>
  </si>
  <si>
    <t>资金借出方</t>
  </si>
  <si>
    <t>担保（包含保函）提供</t>
  </si>
  <si>
    <t>被担保人</t>
  </si>
  <si>
    <t>担保方式</t>
  </si>
  <si>
    <t>担保余额</t>
  </si>
  <si>
    <t>担保到期日</t>
  </si>
  <si>
    <t>担保合同编号</t>
  </si>
  <si>
    <t>担保（包含保函）接受</t>
  </si>
  <si>
    <t>担保金额</t>
  </si>
  <si>
    <t>应付票据</t>
  </si>
  <si>
    <t>银行承兑汇票号码</t>
  </si>
  <si>
    <t>承兑银行名称</t>
  </si>
  <si>
    <t>结算账户账号</t>
  </si>
  <si>
    <t>票面金额</t>
  </si>
  <si>
    <t>出票日</t>
  </si>
  <si>
    <t>到期日</t>
  </si>
  <si>
    <t>票据贴现</t>
  </si>
  <si>
    <t>商业汇票号码</t>
  </si>
  <si>
    <t>付款人名称</t>
  </si>
  <si>
    <t>承兑人名称</t>
  </si>
  <si>
    <t>贴现日</t>
  </si>
  <si>
    <t>贴现率</t>
  </si>
  <si>
    <t>贴现净额</t>
  </si>
  <si>
    <t>票据托收</t>
  </si>
  <si>
    <t>信用证</t>
  </si>
  <si>
    <t>信用证号码</t>
  </si>
  <si>
    <t>受益人</t>
  </si>
  <si>
    <t>信用证金额</t>
  </si>
  <si>
    <t>未使用金额</t>
  </si>
  <si>
    <t>有价证券和其他产权文件</t>
  </si>
  <si>
    <t>有价证券或其他产权文件名称</t>
  </si>
  <si>
    <t>产权文件编号</t>
  </si>
  <si>
    <t>数量</t>
  </si>
  <si>
    <t>金额</t>
  </si>
  <si>
    <t>理财产品</t>
  </si>
  <si>
    <t>产品名称</t>
  </si>
  <si>
    <t>产品类型</t>
  </si>
  <si>
    <t>认购金额</t>
  </si>
  <si>
    <t>购买日</t>
  </si>
  <si>
    <t>其他</t>
  </si>
  <si>
    <t>14.其他</t>
  </si>
  <si>
    <t>被审计单位名称</t>
  </si>
  <si>
    <t>被函证单位名称</t>
  </si>
  <si>
    <t>二维码编号</t>
  </si>
  <si>
    <t>重打标记</t>
  </si>
  <si>
    <t>授权支付的银行账户</t>
  </si>
  <si>
    <t>联系人</t>
  </si>
  <si>
    <t>联系电话</t>
  </si>
  <si>
    <t>联系地址</t>
  </si>
  <si>
    <t>盖章</t>
  </si>
  <si>
    <t>ABC公司</t>
  </si>
  <si>
    <t>东莞银行深圳分行</t>
  </si>
  <si>
    <t>17-HQGR-01p</t>
  </si>
  <si>
    <t>1571403913228</t>
  </si>
  <si>
    <t>平安银行广东自贸试验区横琴分行</t>
  </si>
  <si>
    <t>17-HQGR-02p</t>
  </si>
  <si>
    <t>1571403913235</t>
  </si>
  <si>
    <t>工商银行芜湖长江路支行</t>
  </si>
  <si>
    <t>17-HQGR-03p</t>
  </si>
  <si>
    <t>1571403913259</t>
  </si>
  <si>
    <t>中信银行八卦岭支行</t>
  </si>
  <si>
    <t>17-HQGR-04p</t>
  </si>
  <si>
    <t>1571403913310</t>
  </si>
  <si>
    <t>建设银行罗湖支行</t>
  </si>
  <si>
    <t>17-HQGR-05p</t>
  </si>
  <si>
    <t>1571403913327</t>
  </si>
  <si>
    <t>兴业银行八卦岭支行</t>
  </si>
  <si>
    <t>17-HQGR-06p</t>
  </si>
  <si>
    <t>1571403913334</t>
  </si>
  <si>
    <t>兴业银行深圳八卦岭支行</t>
  </si>
  <si>
    <t>17-HQGR-07p</t>
  </si>
  <si>
    <t>1571403913341</t>
  </si>
  <si>
    <t>兴业银行深圳中心区支行</t>
  </si>
  <si>
    <t>17-HQGR-08p</t>
  </si>
  <si>
    <t>1571403913358</t>
  </si>
  <si>
    <t>中信银行深圳八卦岭支行</t>
  </si>
  <si>
    <t>17-HQGR-09p</t>
  </si>
  <si>
    <t>1571403913365</t>
  </si>
  <si>
    <t>中行深圳沿河南支行</t>
  </si>
  <si>
    <t>17-HQGR-10p</t>
  </si>
  <si>
    <t>1571403913372</t>
  </si>
  <si>
    <t>中国银行南京六合支行</t>
  </si>
  <si>
    <t>17-HQGR-11p</t>
  </si>
  <si>
    <t>1571403913396</t>
  </si>
  <si>
    <t>中国银行合肥高新技术开发区支行</t>
  </si>
  <si>
    <t>17-HQGR-12p</t>
  </si>
  <si>
    <t>1571403913402</t>
  </si>
  <si>
    <t>光大银行深圳东海支行</t>
  </si>
  <si>
    <t>17-HQGR-13p</t>
  </si>
  <si>
    <t>1571403913419</t>
  </si>
  <si>
    <t>中国建设银行黄贝岭支行</t>
  </si>
  <si>
    <t>17-HQGR-14p</t>
  </si>
  <si>
    <t>1571403913426</t>
  </si>
  <si>
    <t>兴业银行科技园支行</t>
  </si>
  <si>
    <t>17-HQGR-15p</t>
  </si>
  <si>
    <t>1571403913433</t>
  </si>
  <si>
    <t>企业询证函</t>
  </si>
  <si>
    <t>二维码编号：</t>
  </si>
  <si>
    <t>本询证函基本参数</t>
  </si>
  <si>
    <t>函证索引号：</t>
  </si>
  <si>
    <t>100-5200-HZ-01p</t>
  </si>
  <si>
    <t>I</t>
  </si>
  <si>
    <r>
      <rPr>
        <sz val="10"/>
        <rFont val="Times New Roman"/>
        <family val="1"/>
      </rPr>
      <t xml:space="preserve">        </t>
    </r>
    <r>
      <rPr>
        <sz val="10"/>
        <rFont val="宋体"/>
        <family val="3"/>
        <charset val="134"/>
      </rPr>
      <t>本公司聘请的天健会计师事务所（特殊普通合伙）正在对本公司</t>
    </r>
    <r>
      <rPr>
        <sz val="10"/>
        <rFont val="Times New Roman"/>
        <family val="1"/>
      </rPr>
      <t>#</t>
    </r>
    <r>
      <rPr>
        <sz val="10"/>
        <rFont val="宋体"/>
        <family val="3"/>
        <charset val="134"/>
      </rPr>
      <t>年度</t>
    </r>
    <r>
      <rPr>
        <sz val="10"/>
        <rFont val="Times New Roman"/>
        <family val="1"/>
      </rPr>
      <t>#</t>
    </r>
    <r>
      <rPr>
        <sz val="10"/>
        <rFont val="宋体"/>
        <family val="3"/>
        <charset val="134"/>
      </rPr>
      <t>财务报表进行审计，按照中国注册会计师审计准则的要求，应当询证本公司与贵公司的往来账项等事项。下列信息出自本公司的记录：</t>
    </r>
    <r>
      <rPr>
        <sz val="10"/>
        <rFont val="Times New Roman"/>
        <family val="1"/>
      </rPr>
      <t xml:space="preserve">(1) </t>
    </r>
    <r>
      <rPr>
        <sz val="10"/>
        <rFont val="宋体"/>
        <family val="3"/>
        <charset val="134"/>
      </rPr>
      <t>如与贵公司记录相符，请在本函</t>
    </r>
    <r>
      <rPr>
        <sz val="10"/>
        <rFont val="Times New Roman"/>
        <family val="1"/>
      </rPr>
      <t>“</t>
    </r>
    <r>
      <rPr>
        <sz val="10"/>
        <rFont val="宋体"/>
        <family val="3"/>
        <charset val="134"/>
      </rPr>
      <t>结论</t>
    </r>
    <r>
      <rPr>
        <sz val="10"/>
        <rFont val="Times New Roman"/>
        <family val="1"/>
      </rPr>
      <t>”</t>
    </r>
    <r>
      <rPr>
        <sz val="10"/>
        <rFont val="宋体"/>
        <family val="3"/>
        <charset val="134"/>
      </rPr>
      <t>部分签字和签章；</t>
    </r>
    <r>
      <rPr>
        <sz val="10"/>
        <rFont val="Times New Roman"/>
        <family val="1"/>
      </rPr>
      <t xml:space="preserve">(2) </t>
    </r>
    <r>
      <rPr>
        <sz val="10"/>
        <rFont val="宋体"/>
        <family val="3"/>
        <charset val="134"/>
      </rPr>
      <t>如有不符，请在本函</t>
    </r>
    <r>
      <rPr>
        <sz val="10"/>
        <rFont val="Times New Roman"/>
        <family val="1"/>
      </rPr>
      <t>“</t>
    </r>
    <r>
      <rPr>
        <sz val="10"/>
        <rFont val="宋体"/>
        <family val="3"/>
        <charset val="134"/>
      </rPr>
      <t>结论</t>
    </r>
    <r>
      <rPr>
        <sz val="10"/>
        <rFont val="Times New Roman"/>
        <family val="1"/>
      </rPr>
      <t>”</t>
    </r>
    <r>
      <rPr>
        <sz val="10"/>
        <rFont val="宋体"/>
        <family val="3"/>
        <charset val="134"/>
      </rPr>
      <t>部分列明不符项目及具体内容，并签字和签章。回函请直接寄至天健会计师事务所。地址及联系方式如下：</t>
    </r>
  </si>
  <si>
    <t>E</t>
  </si>
  <si>
    <t>F</t>
  </si>
  <si>
    <t>E4</t>
  </si>
  <si>
    <t>E1</t>
  </si>
  <si>
    <r>
      <rPr>
        <sz val="10"/>
        <rFont val="宋体"/>
        <family val="3"/>
        <charset val="134"/>
      </rPr>
      <t>单位：</t>
    </r>
  </si>
  <si>
    <t>天健会计师事务所（特殊普通合伙）广东分所</t>
  </si>
  <si>
    <t>邮编：518000</t>
  </si>
  <si>
    <r>
      <rPr>
        <sz val="10"/>
        <rFont val="宋体"/>
        <family val="3"/>
        <charset val="134"/>
      </rPr>
      <t>地址：</t>
    </r>
    <r>
      <rPr>
        <sz val="10"/>
        <rFont val="Times New Roman"/>
        <family val="1"/>
      </rPr>
      <t xml:space="preserve">         </t>
    </r>
  </si>
  <si>
    <t>广州市黄埔区黄埔大道东856号保利鱼珠港A2栋4楼函证中心</t>
  </si>
  <si>
    <t>函证收件人：</t>
  </si>
  <si>
    <t>A审计员</t>
  </si>
  <si>
    <r>
      <rPr>
        <sz val="10"/>
        <rFont val="宋体"/>
        <family val="3"/>
        <charset val="134"/>
      </rPr>
      <t>联系电话：</t>
    </r>
    <r>
      <rPr>
        <sz val="10"/>
        <rFont val="Times New Roman"/>
        <family val="1"/>
      </rPr>
      <t>12345678901</t>
    </r>
  </si>
  <si>
    <t>往来余额</t>
  </si>
  <si>
    <t>截止日期</t>
  </si>
  <si>
    <t>欠贵公司</t>
  </si>
  <si>
    <t>贵公司欠</t>
  </si>
  <si>
    <r>
      <rPr>
        <sz val="10"/>
        <rFont val="Times New Roman"/>
        <family val="1"/>
      </rPr>
      <t>1.</t>
    </r>
    <r>
      <rPr>
        <sz val="10"/>
        <rFont val="宋体"/>
        <family val="3"/>
        <charset val="134"/>
      </rPr>
      <t>往来款项余额</t>
    </r>
  </si>
  <si>
    <t>交易额</t>
  </si>
  <si>
    <t>发生期间</t>
  </si>
  <si>
    <t>交易内容</t>
  </si>
  <si>
    <t>交易金额</t>
  </si>
  <si>
    <t>应收票据</t>
  </si>
  <si>
    <t>??</t>
  </si>
  <si>
    <t>票据编号</t>
  </si>
  <si>
    <t>出票人</t>
  </si>
  <si>
    <t>受票人</t>
  </si>
  <si>
    <t>存货</t>
  </si>
  <si>
    <t xml:space="preserve">2、本公司与贵公司的交易明细如下：             </t>
  </si>
  <si>
    <t>所属期间</t>
  </si>
  <si>
    <t>销售金额</t>
  </si>
  <si>
    <t>采购内容</t>
  </si>
  <si>
    <t>3、应收票据</t>
  </si>
  <si>
    <t>4、其他事项</t>
  </si>
  <si>
    <t>本函仅为复核账目之用，并非催款结算。若款项在上述日期之后已经结清，仍请及时函复为盼。</t>
  </si>
  <si>
    <r>
      <rPr>
        <sz val="10"/>
        <rFont val="宋体"/>
        <family val="3"/>
        <charset val="134"/>
      </rPr>
      <t>经办人：</t>
    </r>
  </si>
  <si>
    <r>
      <rPr>
        <sz val="10"/>
        <rFont val="宋体"/>
        <family val="3"/>
        <charset val="134"/>
      </rPr>
      <t>日</t>
    </r>
    <r>
      <rPr>
        <sz val="10"/>
        <rFont val="Times New Roman"/>
        <family val="1"/>
      </rPr>
      <t xml:space="preserve">    </t>
    </r>
    <r>
      <rPr>
        <sz val="10"/>
        <rFont val="宋体"/>
        <family val="3"/>
        <charset val="134"/>
      </rPr>
      <t>期：</t>
    </r>
  </si>
  <si>
    <r>
      <rPr>
        <sz val="10"/>
        <rFont val="宋体"/>
        <family val="3"/>
        <charset val="134"/>
      </rPr>
      <t>信息证明无误</t>
    </r>
  </si>
  <si>
    <r>
      <rPr>
        <sz val="10"/>
        <rFont val="宋体"/>
        <family val="3"/>
        <charset val="134"/>
      </rPr>
      <t>信息不符及需加证明事项</t>
    </r>
    <r>
      <rPr>
        <sz val="10"/>
        <rFont val="Times New Roman"/>
        <family val="1"/>
      </rPr>
      <t>(</t>
    </r>
    <r>
      <rPr>
        <sz val="10"/>
        <rFont val="宋体"/>
        <family val="3"/>
        <charset val="134"/>
      </rPr>
      <t>详细附后</t>
    </r>
    <r>
      <rPr>
        <sz val="10"/>
        <rFont val="Times New Roman"/>
        <family val="1"/>
      </rPr>
      <t>)</t>
    </r>
  </si>
  <si>
    <r>
      <rPr>
        <sz val="10"/>
        <rFont val="宋体"/>
        <family val="3"/>
        <charset val="134"/>
      </rPr>
      <t>（公司盖章）</t>
    </r>
  </si>
  <si>
    <r>
      <rPr>
        <sz val="10"/>
        <rFont val="宋体"/>
        <family val="3"/>
        <charset val="134"/>
      </rPr>
      <t>年</t>
    </r>
    <r>
      <rPr>
        <sz val="10"/>
        <rFont val="Times New Roman"/>
        <family val="1"/>
      </rPr>
      <t xml:space="preserve">    </t>
    </r>
    <r>
      <rPr>
        <sz val="10"/>
        <rFont val="宋体"/>
        <family val="3"/>
        <charset val="134"/>
      </rPr>
      <t>月</t>
    </r>
    <r>
      <rPr>
        <sz val="10"/>
        <rFont val="Times New Roman"/>
        <family val="1"/>
      </rPr>
      <t xml:space="preserve">    </t>
    </r>
    <r>
      <rPr>
        <sz val="10"/>
        <rFont val="宋体"/>
        <family val="3"/>
        <charset val="134"/>
      </rPr>
      <t>日</t>
    </r>
  </si>
  <si>
    <r>
      <rPr>
        <b/>
        <sz val="14"/>
        <color theme="1"/>
        <rFont val="宋体"/>
        <family val="3"/>
        <charset val="134"/>
      </rPr>
      <t>审计业务银行询证函</t>
    </r>
  </si>
  <si>
    <t>二维码：</t>
  </si>
  <si>
    <t>索引号：</t>
  </si>
  <si>
    <r>
      <rPr>
        <sz val="10"/>
        <color theme="1"/>
        <rFont val="Arial"/>
        <family val="2"/>
      </rPr>
      <t xml:space="preserve">    </t>
    </r>
    <r>
      <rPr>
        <sz val="10"/>
        <color theme="1"/>
        <rFont val="宋体"/>
        <family val="3"/>
        <charset val="134"/>
      </rPr>
      <t>本公司聘请的天健会计师事务所（特殊普通合伙）广东分所正在对本公司自</t>
    </r>
    <r>
      <rPr>
        <sz val="10"/>
        <color theme="1"/>
        <rFont val="Arial"/>
        <family val="2"/>
      </rPr>
      <t>2019</t>
    </r>
    <r>
      <rPr>
        <sz val="10"/>
        <color theme="1"/>
        <rFont val="宋体"/>
        <family val="3"/>
        <charset val="134"/>
      </rPr>
      <t>年</t>
    </r>
    <r>
      <rPr>
        <sz val="10"/>
        <color theme="1"/>
        <rFont val="Arial"/>
        <family val="2"/>
      </rPr>
      <t>1</t>
    </r>
    <r>
      <rPr>
        <sz val="10"/>
        <color theme="1"/>
        <rFont val="宋体"/>
        <family val="3"/>
        <charset val="134"/>
      </rPr>
      <t>月</t>
    </r>
    <r>
      <rPr>
        <sz val="10"/>
        <color theme="1"/>
        <rFont val="Arial"/>
        <family val="2"/>
      </rPr>
      <t>1</t>
    </r>
    <r>
      <rPr>
        <sz val="10"/>
        <color theme="1"/>
        <rFont val="宋体"/>
        <family val="3"/>
        <charset val="134"/>
      </rPr>
      <t>日起至</t>
    </r>
    <r>
      <rPr>
        <sz val="10"/>
        <color theme="1"/>
        <rFont val="Arial"/>
        <family val="2"/>
      </rPr>
      <t>2019</t>
    </r>
    <r>
      <rPr>
        <sz val="10"/>
        <color theme="1"/>
        <rFont val="宋体"/>
        <family val="3"/>
        <charset val="134"/>
      </rPr>
      <t>年</t>
    </r>
    <r>
      <rPr>
        <sz val="10"/>
        <color theme="1"/>
        <rFont val="Arial"/>
        <family val="2"/>
      </rPr>
      <t>12</t>
    </r>
    <r>
      <rPr>
        <sz val="10"/>
        <color theme="1"/>
        <rFont val="宋体"/>
        <family val="3"/>
        <charset val="134"/>
      </rPr>
      <t>月</t>
    </r>
    <r>
      <rPr>
        <sz val="10"/>
        <color theme="1"/>
        <rFont val="Arial"/>
        <family val="2"/>
      </rPr>
      <t>31</t>
    </r>
    <r>
      <rPr>
        <sz val="10"/>
        <color theme="1"/>
        <rFont val="宋体"/>
        <family val="3"/>
        <charset val="134"/>
      </rPr>
      <t>日期间内（</t>
    </r>
    <r>
      <rPr>
        <sz val="10"/>
        <color theme="1"/>
        <rFont val="Arial"/>
        <family val="2"/>
      </rPr>
      <t>2019</t>
    </r>
    <r>
      <rPr>
        <sz val="10"/>
        <color theme="1"/>
        <rFont val="宋体"/>
        <family val="3"/>
        <charset val="134"/>
      </rPr>
      <t>年</t>
    </r>
    <r>
      <rPr>
        <sz val="10"/>
        <color theme="1"/>
        <rFont val="Arial"/>
        <family val="2"/>
      </rPr>
      <t>1-12</t>
    </r>
    <r>
      <rPr>
        <sz val="10"/>
        <color theme="1"/>
        <rFont val="宋体"/>
        <family val="3"/>
        <charset val="134"/>
      </rPr>
      <t>月）的财务报表进行审计，按照中国注册会计师审计准则的要求，应当询证本公司与贵行相关的信息。下列</t>
    </r>
    <r>
      <rPr>
        <sz val="10"/>
        <color theme="1"/>
        <rFont val="Arial"/>
        <family val="2"/>
      </rPr>
      <t>1-14</t>
    </r>
    <r>
      <rPr>
        <sz val="10"/>
        <color theme="1"/>
        <rFont val="宋体"/>
        <family val="3"/>
        <charset val="134"/>
      </rPr>
      <t>项信息出自本公司记录：
（</t>
    </r>
    <r>
      <rPr>
        <sz val="10"/>
        <color theme="1"/>
        <rFont val="Arial"/>
        <family val="2"/>
      </rPr>
      <t>1</t>
    </r>
    <r>
      <rPr>
        <sz val="10"/>
        <color theme="1"/>
        <rFont val="宋体"/>
        <family val="3"/>
        <charset val="134"/>
      </rPr>
      <t>）如与贵行记录相符，请在本函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部分签字、签章；
（</t>
    </r>
    <r>
      <rPr>
        <sz val="10"/>
        <color theme="1"/>
        <rFont val="Arial"/>
        <family val="2"/>
      </rPr>
      <t>2</t>
    </r>
    <r>
      <rPr>
        <sz val="10"/>
        <color theme="1"/>
        <rFont val="宋体"/>
        <family val="3"/>
        <charset val="134"/>
      </rPr>
      <t>）如有不符，请在本函</t>
    </r>
    <r>
      <rPr>
        <sz val="10"/>
        <color theme="1"/>
        <rFont val="Arial"/>
        <family val="2"/>
      </rPr>
      <t>“</t>
    </r>
    <r>
      <rPr>
        <sz val="10"/>
        <color theme="1"/>
        <rFont val="宋体"/>
        <family val="3"/>
        <charset val="134"/>
      </rPr>
      <t>结论</t>
    </r>
    <r>
      <rPr>
        <sz val="10"/>
        <color theme="1"/>
        <rFont val="Arial"/>
        <family val="2"/>
      </rPr>
      <t>”</t>
    </r>
    <r>
      <rPr>
        <sz val="10"/>
        <color theme="1"/>
        <rFont val="宋体"/>
        <family val="3"/>
        <charset val="134"/>
      </rPr>
      <t>部分列明不符项目及具体内容，并签字和签章。
本公司谨授权贵行将回函直接寄至天健会计师事务所（特殊普通合伙）广东分所，地址及联系方式如下：</t>
    </r>
  </si>
  <si>
    <t>备选数据表表头：</t>
  </si>
  <si>
    <t>回函单位：天健会计师事务所（特殊普通合伙）广东分所</t>
  </si>
  <si>
    <t>表格名称</t>
  </si>
  <si>
    <t>对应行</t>
  </si>
  <si>
    <t>回函地址：广州市黄埔区黄埔大道东856号保利鱼珠港A2栋4楼函证中心</t>
  </si>
  <si>
    <t>回函收件人：</t>
  </si>
  <si>
    <t>回函收件人电话：</t>
  </si>
  <si>
    <t>邮政编码：</t>
  </si>
  <si>
    <t>截至2019年12月31日,本公司与贵行相关的信息列示如下:</t>
  </si>
  <si>
    <r>
      <rPr>
        <b/>
        <sz val="10"/>
        <color theme="1"/>
        <rFont val="Arial"/>
        <family val="2"/>
      </rPr>
      <t>1.</t>
    </r>
    <r>
      <rPr>
        <b/>
        <sz val="10"/>
        <color indexed="8"/>
        <rFont val="宋体"/>
        <family val="3"/>
        <charset val="134"/>
      </rPr>
      <t>银行存款</t>
    </r>
  </si>
  <si>
    <t>无</t>
  </si>
  <si>
    <t>除上述列示的银行存款外，本公司并无在贵行的其他存款。</t>
  </si>
  <si>
    <t>注：“起止日期”一栏仅适用于定期存款，如为活期或保证金存款，可只填写“活期”或“保证金”字样；“账户类型”列明账户性质，如基本户、一般户等。</t>
  </si>
  <si>
    <t>2.银行借款</t>
  </si>
  <si>
    <t>除上述列示的银行借款外，本公司并无自贵行的其他借款。</t>
  </si>
  <si>
    <t>注：如存在本金或利息逾期未付行为，在“备注”栏中予以说明。</t>
  </si>
  <si>
    <t>3、自2019年1月1日起至2019年12月31日期间内注销的账户</t>
  </si>
  <si>
    <t>除上述列示的注销账户外，本公司在此期间并未在贵行注销其他账户。</t>
  </si>
  <si>
    <t>4、本公司作为贷款方的委托贷款</t>
  </si>
  <si>
    <t>除上述列示的委托存款外，本公司并无通过贵行办理的其他委托存款。</t>
  </si>
  <si>
    <t>注：如资金借入方存在本金或利息逾期未付行为，在“备注”栏中予以说明</t>
  </si>
  <si>
    <t>5、本公司作为借款方的委托贷款</t>
  </si>
  <si>
    <t>除上述列示的委托贷款外，本公司并无通过贵行办理的其他委托贷款。</t>
  </si>
  <si>
    <t>6、担保（包括保函）</t>
  </si>
  <si>
    <t>（1）本公司为其他单位提供的、以贵行为担保受益人的担保。</t>
  </si>
  <si>
    <t>除上述列示的担保外，本公司并无其他以贵行为担保受益人的担保。</t>
  </si>
  <si>
    <t>注：如采用抵押或质押方式提供担保的，应在“备注”栏中说明抵押或质押物情况；如被担保方存在本金或利息逾期未付行为，在“备注”栏中予以说明。</t>
  </si>
  <si>
    <t>（2）贵行向本公司提供的担保</t>
  </si>
  <si>
    <t>除上述列示的担保外，本公司并无贵行提供的其他担保。</t>
  </si>
  <si>
    <t>7、本公司为出票人且由贵行承兑而尚未支付的银行承兑汇票</t>
  </si>
  <si>
    <t>除上述列示的银行承兑汇票外，本公司并无由贵行承兑而尚未支付的其他银行承兑汇票。</t>
  </si>
  <si>
    <t>8、本公司向贵行已贴现而尚未到期的商业汇票</t>
  </si>
  <si>
    <t>除上述列示的商业汇票外，本公司并无向贵行已贴现而尚未到期的其他商业汇票。</t>
  </si>
  <si>
    <t>9、本公司为持票人且由贵行托收的商业汇票</t>
  </si>
  <si>
    <t>除上述列示的商业汇票外，本公司并无由贵行托收而尚未到期的其他商业汇票。</t>
  </si>
  <si>
    <t>10、本公司为申请人、由贵行开具的、未履行完毕的不可撤销信用证</t>
  </si>
  <si>
    <t>除上述列示的不可撤销信用证外，本公司并无由贵行开具的、未履行完毕的其他不可撤销信用证。</t>
  </si>
  <si>
    <t>11、本公司与贵行之间未履行完毕的外汇买卖合约</t>
  </si>
  <si>
    <t>类别</t>
  </si>
  <si>
    <t>合约号码</t>
  </si>
  <si>
    <t>买卖币种</t>
  </si>
  <si>
    <t>未履行的合约买卖金额</t>
  </si>
  <si>
    <t>汇率</t>
  </si>
  <si>
    <t>交收日期</t>
  </si>
  <si>
    <t>贵行卖予本公司</t>
  </si>
  <si>
    <t>本公司卖予贵行</t>
  </si>
  <si>
    <t>除上述列示的外汇买卖合约外，本公司并无与贵行之间未履行完毕的其他外汇买卖合约。</t>
  </si>
  <si>
    <t>12、本公司存放于贵行的有价证券或其他产权文件</t>
  </si>
  <si>
    <t>除上述列示的有价证券或其他产权文件外，本公司并无存放于贵行的其他有价证券或其他产权文件。</t>
  </si>
  <si>
    <t>13、本公司购买的由贵行发行的未到期银行理财产品</t>
  </si>
  <si>
    <t>除上述列示的银行理财产品外，本公司并无购买其他由贵行发行的理财产品。</t>
  </si>
  <si>
    <t>注：此项应填列注册会计师认为重大且应予函证的其他事项，如欠银行的其他负债或者或有负债、除外汇买卖外的其他衍生交易、贵金属交易等。</t>
  </si>
  <si>
    <t>（预留印鉴）</t>
  </si>
  <si>
    <t xml:space="preserve">          年       月      日</t>
  </si>
  <si>
    <t xml:space="preserve">经办人：      </t>
  </si>
  <si>
    <t xml:space="preserve">职务：      </t>
  </si>
  <si>
    <t xml:space="preserve">电话：    </t>
  </si>
  <si>
    <r>
      <rPr>
        <b/>
        <u/>
        <sz val="10"/>
        <rFont val="宋体"/>
        <family val="3"/>
        <charset val="134"/>
      </rPr>
      <t xml:space="preserve">                                             </t>
    </r>
    <r>
      <rPr>
        <b/>
        <sz val="10"/>
        <rFont val="宋体"/>
        <family val="3"/>
        <charset val="134"/>
      </rPr>
      <t>以下由被询证银行填列</t>
    </r>
    <r>
      <rPr>
        <b/>
        <u/>
        <sz val="10"/>
        <rFont val="宋体"/>
        <family val="3"/>
        <charset val="134"/>
      </rPr>
      <t xml:space="preserve">                                             </t>
    </r>
    <r>
      <rPr>
        <b/>
        <sz val="10"/>
        <rFont val="宋体"/>
        <family val="3"/>
        <charset val="134"/>
      </rPr>
      <t xml:space="preserve">。           </t>
    </r>
    <r>
      <rPr>
        <b/>
        <u/>
        <sz val="10"/>
        <rFont val="宋体"/>
        <family val="3"/>
        <charset val="134"/>
      </rPr>
      <t xml:space="preserve">                          </t>
    </r>
  </si>
  <si>
    <t>1.经本行核对，所函证项目与本行记载信息相符。特此函复。</t>
  </si>
  <si>
    <t>（银行盖章）</t>
  </si>
  <si>
    <r>
      <rPr>
        <b/>
        <u/>
        <sz val="10"/>
        <rFont val="宋体"/>
        <family val="3"/>
        <charset val="134"/>
      </rPr>
      <t xml:space="preserve">          </t>
    </r>
    <r>
      <rPr>
        <b/>
        <sz val="10"/>
        <rFont val="宋体"/>
        <family val="3"/>
        <charset val="134"/>
      </rPr>
      <t>年</t>
    </r>
    <r>
      <rPr>
        <b/>
        <u/>
        <sz val="10"/>
        <rFont val="宋体"/>
        <family val="3"/>
        <charset val="134"/>
      </rPr>
      <t xml:space="preserve">       </t>
    </r>
    <r>
      <rPr>
        <b/>
        <sz val="10"/>
        <rFont val="宋体"/>
        <family val="3"/>
        <charset val="134"/>
      </rPr>
      <t>月</t>
    </r>
    <r>
      <rPr>
        <b/>
        <u/>
        <sz val="10"/>
        <rFont val="宋体"/>
        <family val="3"/>
        <charset val="134"/>
      </rPr>
      <t xml:space="preserve">      </t>
    </r>
    <r>
      <rPr>
        <b/>
        <sz val="10"/>
        <rFont val="宋体"/>
        <family val="3"/>
        <charset val="134"/>
      </rPr>
      <t>日</t>
    </r>
  </si>
  <si>
    <t>经办人：</t>
  </si>
  <si>
    <t>复核人：</t>
  </si>
  <si>
    <t>职务：</t>
  </si>
  <si>
    <t>电话：</t>
  </si>
  <si>
    <t>2.经本行核对，存在以下不符之处。</t>
  </si>
  <si>
    <t>说明：</t>
  </si>
  <si>
    <t>1.本询证函（包括回函）中所列信息应严格保密，仅用于注册会计师审计目的。</t>
  </si>
  <si>
    <t>2.注册会计师可根据审计的需要，从本函所列第1-14项中选择所需询证的项目，对于不适用的项目，应当将该项目中的表格用斜线划掉。</t>
  </si>
  <si>
    <t>3.本函应由被审计单位加盖骑缝章。</t>
  </si>
  <si>
    <t>银行询证函</t>
  </si>
  <si>
    <t xml:space="preserve"> </t>
  </si>
  <si>
    <t>200-112500-04p</t>
  </si>
  <si>
    <t>I7</t>
  </si>
  <si>
    <t xml:space="preserve">    本公司聘请的天健会计师事务所（特殊普通合伙）广东分所正在对本公司2019年1-12月份的财务报表进行审计，按照中国注册会计师审计准则的要求，应当询证本公司与贵行相关的信息。下列第1-14项信息出自本公司的记录：</t>
  </si>
  <si>
    <t xml:space="preserve">    (1) 如与贵行记录相符，请在本函“结论”部分签字和签章；</t>
  </si>
  <si>
    <t xml:space="preserve">    (2) 如有不符，请在本函“结论”部分列明不符项目及具体内容，并签字和签章。</t>
  </si>
  <si>
    <t xml:space="preserve">    本公司谨授权贵行将回函请直接寄至天健会计师事务所（特殊普通合伙）广东分所，地址及联系方式如下：</t>
  </si>
  <si>
    <t xml:space="preserve">    回函地址：广东省广州市黄埔区黄埔大道东856号鱼珠广场A2栋4楼函证中心</t>
  </si>
  <si>
    <t xml:space="preserve">    联系人：</t>
  </si>
  <si>
    <t>电子邮箱：</t>
  </si>
  <si>
    <t xml:space="preserve">    电话：</t>
  </si>
  <si>
    <t>传真：</t>
  </si>
  <si>
    <t xml:space="preserve">    邮  编：</t>
  </si>
  <si>
    <t>1.存款</t>
  </si>
  <si>
    <r>
      <rPr>
        <sz val="10"/>
        <rFont val="宋体"/>
        <family val="3"/>
        <charset val="134"/>
      </rPr>
      <t>备</t>
    </r>
    <r>
      <rPr>
        <sz val="10"/>
        <rFont val="Times New Roman"/>
        <family val="1"/>
      </rPr>
      <t xml:space="preserve">  </t>
    </r>
    <r>
      <rPr>
        <sz val="10"/>
        <rFont val="宋体"/>
        <family val="3"/>
        <charset val="134"/>
      </rPr>
      <t>注</t>
    </r>
  </si>
  <si>
    <t>2.借款</t>
  </si>
  <si>
    <r>
      <rPr>
        <sz val="10"/>
        <rFont val="宋体"/>
        <family val="3"/>
        <charset val="134"/>
      </rPr>
      <t>抵（质）押品</t>
    </r>
    <r>
      <rPr>
        <sz val="10"/>
        <rFont val="Times New Roman"/>
        <family val="1"/>
      </rPr>
      <t>/</t>
    </r>
    <r>
      <rPr>
        <sz val="10"/>
        <rFont val="宋体"/>
        <family val="3"/>
        <charset val="134"/>
      </rPr>
      <t>担保人</t>
    </r>
  </si>
  <si>
    <t xml:space="preserve">    截至2019年12月31日，本公司与贵行相关的信息列示如下：</t>
  </si>
  <si>
    <t>3.销户</t>
  </si>
  <si>
    <r>
      <rPr>
        <sz val="10"/>
        <rFont val="宋体"/>
        <family val="3"/>
        <charset val="134"/>
      </rPr>
      <t>币</t>
    </r>
    <r>
      <rPr>
        <sz val="10"/>
        <rFont val="Times New Roman"/>
        <family val="1"/>
      </rPr>
      <t xml:space="preserve">    </t>
    </r>
    <r>
      <rPr>
        <sz val="10"/>
        <rFont val="宋体"/>
        <family val="3"/>
        <charset val="134"/>
      </rPr>
      <t>种</t>
    </r>
  </si>
  <si>
    <t>4.委托贷款贷款方</t>
  </si>
  <si>
    <r>
      <rPr>
        <sz val="10"/>
        <rFont val="宋体"/>
        <family val="3"/>
        <charset val="134"/>
      </rPr>
      <t>币</t>
    </r>
    <r>
      <rPr>
        <sz val="10"/>
        <rFont val="Times New Roman"/>
        <family val="1"/>
      </rPr>
      <t xml:space="preserve"> </t>
    </r>
    <r>
      <rPr>
        <sz val="10"/>
        <rFont val="宋体"/>
        <family val="3"/>
        <charset val="134"/>
      </rPr>
      <t>种</t>
    </r>
  </si>
  <si>
    <r>
      <rPr>
        <sz val="10"/>
        <rFont val="宋体"/>
        <family val="3"/>
        <charset val="134"/>
      </rPr>
      <t>利</t>
    </r>
    <r>
      <rPr>
        <sz val="10"/>
        <rFont val="Times New Roman"/>
        <family val="1"/>
      </rPr>
      <t xml:space="preserve"> </t>
    </r>
    <r>
      <rPr>
        <sz val="10"/>
        <rFont val="宋体"/>
        <family val="3"/>
        <charset val="134"/>
      </rPr>
      <t>率</t>
    </r>
  </si>
  <si>
    <r>
      <rPr>
        <sz val="10"/>
        <rFont val="宋体"/>
        <family val="3"/>
        <charset val="134"/>
      </rPr>
      <t>余</t>
    </r>
    <r>
      <rPr>
        <sz val="10"/>
        <rFont val="Times New Roman"/>
        <family val="1"/>
      </rPr>
      <t xml:space="preserve"> </t>
    </r>
    <r>
      <rPr>
        <sz val="10"/>
        <rFont val="宋体"/>
        <family val="3"/>
        <charset val="134"/>
      </rPr>
      <t>额</t>
    </r>
  </si>
  <si>
    <t xml:space="preserve">    1．银行存款</t>
  </si>
  <si>
    <t>5.委托借款借款方</t>
  </si>
  <si>
    <t>6.1提供担保</t>
  </si>
  <si>
    <t>6.2接受担保</t>
  </si>
  <si>
    <t>7.应付票据</t>
  </si>
  <si>
    <t>8.商票贴现未到期</t>
  </si>
  <si>
    <t xml:space="preserve">    除上述列示的银行存款外，本公司并无在贵行的其他存款。   
    注：“起止日期”一栏仅适用于定期存款，如为活期或保证金存款，可只填写“活期”或“保证金”字样；“账户类型”列明账户性质，如基本户、一般户等。</t>
  </si>
  <si>
    <t>9.票据托收</t>
  </si>
  <si>
    <t>10.信用证</t>
  </si>
  <si>
    <t>11.外汇买卖合约</t>
  </si>
  <si>
    <r>
      <rPr>
        <sz val="10"/>
        <rFont val="宋体"/>
        <family val="3"/>
        <charset val="134"/>
      </rPr>
      <t>类</t>
    </r>
    <r>
      <rPr>
        <sz val="10"/>
        <rFont val="Times New Roman"/>
        <family val="1"/>
      </rPr>
      <t xml:space="preserve">   </t>
    </r>
    <r>
      <rPr>
        <sz val="10"/>
        <rFont val="宋体"/>
        <family val="3"/>
        <charset val="134"/>
      </rPr>
      <t>别</t>
    </r>
  </si>
  <si>
    <t>12.有价证券和其他产权文件</t>
  </si>
  <si>
    <r>
      <rPr>
        <sz val="10"/>
        <rFont val="宋体"/>
        <family val="3"/>
        <charset val="134"/>
      </rPr>
      <t>数</t>
    </r>
    <r>
      <rPr>
        <sz val="10"/>
        <rFont val="Times New Roman"/>
        <family val="1"/>
      </rPr>
      <t xml:space="preserve">  </t>
    </r>
    <r>
      <rPr>
        <sz val="10"/>
        <rFont val="宋体"/>
        <family val="3"/>
        <charset val="134"/>
      </rPr>
      <t>量</t>
    </r>
  </si>
  <si>
    <r>
      <rPr>
        <sz val="10"/>
        <rFont val="宋体"/>
        <family val="3"/>
        <charset val="134"/>
      </rPr>
      <t>金</t>
    </r>
    <r>
      <rPr>
        <sz val="10"/>
        <rFont val="Times New Roman"/>
        <family val="1"/>
      </rPr>
      <t xml:space="preserve">   </t>
    </r>
    <r>
      <rPr>
        <sz val="10"/>
        <rFont val="宋体"/>
        <family val="3"/>
        <charset val="134"/>
      </rPr>
      <t>额</t>
    </r>
  </si>
  <si>
    <t xml:space="preserve">    2．银行借款</t>
  </si>
  <si>
    <t>13.理财产品</t>
  </si>
  <si>
    <t xml:space="preserve">    除上述列示的银行借款外，本公司并无自贵行的其他借款。注：如存在本金或利息逾期未付行为，在“备注”栏中予以说明。</t>
  </si>
  <si>
    <t xml:space="preserve">    3．自 2010年1月1日 起至 2010年12月31 日期间内注销的账户</t>
  </si>
  <si>
    <t xml:space="preserve">    除上述列示的注销账户外，本公司在此期间并未在贵行注销其他账户。</t>
  </si>
  <si>
    <t xml:space="preserve">    4．本公司作为贷款方的委托贷款</t>
  </si>
  <si>
    <t xml:space="preserve">    除上述列示的委托贷款外，本公司并无通过贵行办理的其他委托贷款。注：如资金借入方存在本金或利息逾期未付行为，在“备注”栏中予以说明。</t>
  </si>
  <si>
    <t xml:space="preserve">    5．本公司作为借款方的委托贷款</t>
  </si>
  <si>
    <t xml:space="preserve">    除上述列示的委托贷款外，本公司并无通过贵行办理的其他委托贷款。注：如存在本金或利息逾期未付行为，在“备注”栏中予以说明。</t>
  </si>
  <si>
    <t xml:space="preserve">    6．担保（包括保函）</t>
  </si>
  <si>
    <t xml:space="preserve">    （1）本公司为其他单位提供的、以贵行为担保受益人的担保</t>
  </si>
  <si>
    <t xml:space="preserve">    除上述列示的担保外，本公司并无其他以贵行为担保受益人的担保。注：如采用抵押或质押方式提供担保的，应在“备注”栏中说明抵押或质押物情况；如被担保方存在本金或利息逾期未支付行为，在“备注”栏中予以说明。</t>
  </si>
  <si>
    <t xml:space="preserve">    （2）贵行向本公司提供的担保</t>
  </si>
  <si>
    <t xml:space="preserve">    除上述列示的担保外，本公司并无贵行提供的其他担保。</t>
  </si>
  <si>
    <t xml:space="preserve">    7．本公司为出票人且由贵行承兑而尚未支付的银行承兑汇票</t>
  </si>
  <si>
    <t xml:space="preserve">    除上述列示的银行承兑汇票外，本公司并无由贵行承兑而尚未支付的其他银行承兑汇票。</t>
  </si>
  <si>
    <t xml:space="preserve">    8．本公司向贵行已贴现而尚未到期的商业汇票</t>
  </si>
  <si>
    <t xml:space="preserve">    除上述列示的商业汇票外，本公司并无向贵行已贴现而尚未到期的其他商业汇票。</t>
  </si>
  <si>
    <t xml:space="preserve">    9．本公司为持票人且由贵行托收的商业汇票</t>
  </si>
  <si>
    <t xml:space="preserve">    除上述列示的商业汇票外，本公司并无由贵行托收的其他商业汇票。</t>
  </si>
  <si>
    <t xml:space="preserve">    10．本公司为申请人、由贵行开具的、未履行完毕的不可撤销信用证</t>
  </si>
  <si>
    <t xml:space="preserve">    除上述列示的不可撤销信用证外，本公司并无由贵行开具的、未履行完毕的其他不可撤销信用证。</t>
  </si>
  <si>
    <t xml:space="preserve">    11．本公司与贵行之间未履行完毕的外汇买卖合约</t>
  </si>
  <si>
    <t xml:space="preserve">    除上述列示的外汇买卖合约外，本公司并无与贵行之间未履行完毕的其他外汇买卖合约。</t>
  </si>
  <si>
    <t xml:space="preserve">    12．本公司存放于贵行托管的有价证券或其他产权文件</t>
  </si>
  <si>
    <t xml:space="preserve">    除上述列示的有价证券或其他产权文件外，本公司并无存放于贵行托管的其他有价证券或其他产权文件。</t>
  </si>
  <si>
    <t xml:space="preserve">   13. 本公司购买的由贵行发行的未到期银行理财产品</t>
  </si>
  <si>
    <t xml:space="preserve">    除上述列示的银行理财产品外，本公司并无购买其他由贵行发行的理财产品。</t>
  </si>
  <si>
    <t xml:space="preserve">    14．其他</t>
  </si>
  <si>
    <t xml:space="preserve">    注：此项应填列注册会计师认为重大且应予函证的其他事项，如欠银行的其他负债或者或有负债、除外汇买卖外的其他衍生交易、贵金属交易等。</t>
  </si>
  <si>
    <t>职　务：</t>
  </si>
  <si>
    <t>电　话：</t>
  </si>
  <si>
    <t>以下由被询证银行填列</t>
  </si>
  <si>
    <t xml:space="preserve">    结论：</t>
  </si>
  <si>
    <t xml:space="preserve">   经本行核对，所函证项目与本行记载信息相符。特此函复。</t>
  </si>
  <si>
    <t xml:space="preserve">  年     月      日    </t>
  </si>
  <si>
    <t xml:space="preserve">经办人：       </t>
  </si>
  <si>
    <t xml:space="preserve">职务：       </t>
  </si>
  <si>
    <t xml:space="preserve">复核人：      </t>
  </si>
  <si>
    <t xml:space="preserve">   经本行核对，存在以下不符之处。</t>
  </si>
  <si>
    <t>　1.本询证函（包括回函）中所列信息应严格保密，仅用于注册会计师审计目的。</t>
  </si>
  <si>
    <t xml:space="preserve">    2.注册会计师可根据审计的需要，从本函所列第1—14项中选择所需的询证的项目，对于不适用的项目，应当将该项目中的表格用斜线划掉。</t>
  </si>
  <si>
    <t xml:space="preserve">    3.本函应由被审计单位加盖骑缝章。</t>
  </si>
  <si>
    <t>G</t>
  </si>
  <si>
    <t>F4</t>
  </si>
  <si>
    <t>F1</t>
  </si>
  <si>
    <t>支付宝函证数据</t>
  </si>
  <si>
    <t>账户</t>
  </si>
  <si>
    <t>账户可用余额</t>
  </si>
  <si>
    <t>年度总收入汇总</t>
  </si>
  <si>
    <t>年度总支出汇总</t>
  </si>
  <si>
    <t>微信函证数据</t>
  </si>
  <si>
    <t>预收待付未结算金额</t>
  </si>
  <si>
    <t>预收待付未提现金额</t>
  </si>
  <si>
    <t>财付通</t>
  </si>
  <si>
    <r>
      <rPr>
        <sz val="10"/>
        <rFont val="宋体"/>
        <family val="3"/>
        <charset val="134"/>
      </rPr>
      <t>二维码编号：</t>
    </r>
  </si>
  <si>
    <r>
      <rPr>
        <sz val="10"/>
        <rFont val="宋体"/>
        <family val="3"/>
        <charset val="134"/>
      </rPr>
      <t>函证索引号：</t>
    </r>
  </si>
  <si>
    <t>L</t>
  </si>
  <si>
    <r>
      <rPr>
        <sz val="10"/>
        <rFont val="Times New Roman"/>
        <family val="1"/>
      </rPr>
      <t xml:space="preserve">        </t>
    </r>
    <r>
      <rPr>
        <sz val="10"/>
        <rFont val="宋体"/>
        <family val="3"/>
        <charset val="134"/>
      </rPr>
      <t>感谢贵单位长期以来对</t>
    </r>
    <r>
      <rPr>
        <sz val="10"/>
        <rFont val="Times New Roman"/>
        <family val="1"/>
      </rPr>
      <t>KPY</t>
    </r>
    <r>
      <rPr>
        <sz val="10"/>
        <rFont val="宋体"/>
        <family val="3"/>
        <charset val="134"/>
      </rPr>
      <t>信息科技股份有限公司（以下简称</t>
    </r>
    <r>
      <rPr>
        <sz val="10"/>
        <rFont val="Times New Roman"/>
        <family val="1"/>
      </rPr>
      <t>KPY</t>
    </r>
    <r>
      <rPr>
        <sz val="10"/>
        <rFont val="宋体"/>
        <family val="3"/>
        <charset val="134"/>
      </rPr>
      <t>）的信任和支持！为给贵单位提供更加优质的产品及服务，</t>
    </r>
    <r>
      <rPr>
        <sz val="10"/>
        <rFont val="Times New Roman"/>
        <family val="1"/>
      </rPr>
      <t>KPY</t>
    </r>
    <r>
      <rPr>
        <sz val="10"/>
        <rFont val="宋体"/>
        <family val="3"/>
        <charset val="134"/>
      </rPr>
      <t>拟首次公开发行股票并上市，并且聘请国金证券股份有限公司、天健会计师事务所（特殊普通合伙）作为上市辅导机构。天健会计师事务所（特殊普通合伙）正在对</t>
    </r>
    <r>
      <rPr>
        <sz val="10"/>
        <rFont val="Times New Roman"/>
        <family val="1"/>
      </rPr>
      <t>KPY2019</t>
    </r>
    <r>
      <rPr>
        <sz val="10"/>
        <rFont val="宋体"/>
        <family val="3"/>
        <charset val="134"/>
      </rPr>
      <t>年度财务报表进行审计，按照中国注册会计师审计准则的要求，应当询证</t>
    </r>
    <r>
      <rPr>
        <sz val="10"/>
        <rFont val="Times New Roman"/>
        <family val="1"/>
      </rPr>
      <t>KPY</t>
    </r>
    <r>
      <rPr>
        <sz val="10"/>
        <rFont val="宋体"/>
        <family val="3"/>
        <charset val="134"/>
      </rPr>
      <t>与贵单位的往来账项等事项。下列数据出自</t>
    </r>
    <r>
      <rPr>
        <sz val="10"/>
        <rFont val="Times New Roman"/>
        <family val="1"/>
      </rPr>
      <t>KPY</t>
    </r>
    <r>
      <rPr>
        <sz val="10"/>
        <rFont val="宋体"/>
        <family val="3"/>
        <charset val="134"/>
      </rPr>
      <t>账薄记录，如与贵单位记录相符，请在本函下端</t>
    </r>
    <r>
      <rPr>
        <sz val="10"/>
        <rFont val="Times New Roman"/>
        <family val="1"/>
      </rPr>
      <t>“</t>
    </r>
    <r>
      <rPr>
        <sz val="10"/>
        <rFont val="宋体"/>
        <family val="3"/>
        <charset val="134"/>
      </rPr>
      <t>信息证明无误</t>
    </r>
    <r>
      <rPr>
        <sz val="10"/>
        <rFont val="Times New Roman"/>
        <family val="1"/>
      </rPr>
      <t>”</t>
    </r>
    <r>
      <rPr>
        <sz val="10"/>
        <rFont val="宋体"/>
        <family val="3"/>
        <charset val="134"/>
      </rPr>
      <t>处签章证明；如有不符．请在</t>
    </r>
    <r>
      <rPr>
        <sz val="10"/>
        <rFont val="Times New Roman"/>
        <family val="1"/>
      </rPr>
      <t>“</t>
    </r>
    <r>
      <rPr>
        <sz val="10"/>
        <rFont val="宋体"/>
        <family val="3"/>
        <charset val="134"/>
      </rPr>
      <t>信息不符</t>
    </r>
    <r>
      <rPr>
        <sz val="10"/>
        <rFont val="Times New Roman"/>
        <family val="1"/>
      </rPr>
      <t>”</t>
    </r>
    <r>
      <rPr>
        <sz val="10"/>
        <rFont val="宋体"/>
        <family val="3"/>
        <charset val="134"/>
      </rPr>
      <t>处列明不符项目。如存在与</t>
    </r>
    <r>
      <rPr>
        <sz val="10"/>
        <rFont val="Times New Roman"/>
        <family val="1"/>
      </rPr>
      <t>KPY</t>
    </r>
    <r>
      <rPr>
        <sz val="10"/>
        <rFont val="宋体"/>
        <family val="3"/>
        <charset val="134"/>
      </rPr>
      <t>有关的未列入本函的其他项目，请在</t>
    </r>
    <r>
      <rPr>
        <sz val="10"/>
        <rFont val="Times New Roman"/>
        <family val="1"/>
      </rPr>
      <t>“</t>
    </r>
    <r>
      <rPr>
        <sz val="10"/>
        <rFont val="宋体"/>
        <family val="3"/>
        <charset val="134"/>
      </rPr>
      <t>数据不符</t>
    </r>
    <r>
      <rPr>
        <sz val="10"/>
        <rFont val="Times New Roman"/>
        <family val="1"/>
      </rPr>
      <t>”</t>
    </r>
    <r>
      <rPr>
        <sz val="10"/>
        <rFont val="宋体"/>
        <family val="3"/>
        <charset val="134"/>
      </rPr>
      <t>处列出这些项目的金额及详细资料。回函请直接寄至天健会计师事务所（特殊普通合伙）</t>
    </r>
  </si>
  <si>
    <t>H</t>
  </si>
  <si>
    <t>G4</t>
  </si>
  <si>
    <t>G1</t>
  </si>
  <si>
    <r>
      <rPr>
        <sz val="10"/>
        <rFont val="宋体"/>
        <family val="3"/>
        <charset val="134"/>
      </rPr>
      <t>回函地址：</t>
    </r>
    <r>
      <rPr>
        <sz val="10"/>
        <rFont val="Times New Roman"/>
        <family val="1"/>
      </rPr>
      <t xml:space="preserve">  </t>
    </r>
    <r>
      <rPr>
        <sz val="10"/>
        <rFont val="宋体"/>
        <family val="3"/>
        <charset val="134"/>
      </rPr>
      <t>广州市黄埔区黄埔大道东</t>
    </r>
    <r>
      <rPr>
        <sz val="10"/>
        <rFont val="Times New Roman"/>
        <family val="1"/>
      </rPr>
      <t>856</t>
    </r>
    <r>
      <rPr>
        <sz val="10"/>
        <rFont val="宋体"/>
        <family val="3"/>
        <charset val="134"/>
      </rPr>
      <t>号保利鱼珠港</t>
    </r>
    <r>
      <rPr>
        <sz val="10"/>
        <rFont val="Times New Roman"/>
        <family val="1"/>
      </rPr>
      <t>A2</t>
    </r>
    <r>
      <rPr>
        <sz val="10"/>
        <rFont val="宋体"/>
        <family val="3"/>
        <charset val="134"/>
      </rPr>
      <t>栋</t>
    </r>
    <r>
      <rPr>
        <sz val="10"/>
        <rFont val="Times New Roman"/>
        <family val="1"/>
      </rPr>
      <t>4</t>
    </r>
    <r>
      <rPr>
        <sz val="10"/>
        <rFont val="宋体"/>
        <family val="3"/>
        <charset val="134"/>
      </rPr>
      <t>楼函证中心</t>
    </r>
  </si>
  <si>
    <t>邮         编：   510760</t>
  </si>
  <si>
    <r>
      <rPr>
        <sz val="10"/>
        <rFont val="宋体"/>
        <family val="3"/>
        <charset val="134"/>
      </rPr>
      <t>联</t>
    </r>
    <r>
      <rPr>
        <sz val="10"/>
        <rFont val="Times New Roman"/>
        <family val="1"/>
      </rPr>
      <t xml:space="preserve">  </t>
    </r>
    <r>
      <rPr>
        <sz val="10"/>
        <rFont val="宋体"/>
        <family val="3"/>
        <charset val="134"/>
      </rPr>
      <t>系</t>
    </r>
    <r>
      <rPr>
        <sz val="10"/>
        <rFont val="Times New Roman"/>
        <family val="1"/>
      </rPr>
      <t xml:space="preserve">  </t>
    </r>
    <r>
      <rPr>
        <sz val="10"/>
        <rFont val="宋体"/>
        <family val="3"/>
        <charset val="134"/>
      </rPr>
      <t>人：</t>
    </r>
    <r>
      <rPr>
        <sz val="10"/>
        <rFont val="Times New Roman"/>
        <family val="1"/>
      </rPr>
      <t xml:space="preserve"> </t>
    </r>
  </si>
  <si>
    <r>
      <rPr>
        <sz val="10"/>
        <rFont val="宋体"/>
        <family val="3"/>
        <charset val="134"/>
      </rPr>
      <t>电</t>
    </r>
    <r>
      <rPr>
        <sz val="10"/>
        <rFont val="Times New Roman"/>
        <family val="1"/>
      </rPr>
      <t xml:space="preserve">         </t>
    </r>
    <r>
      <rPr>
        <sz val="10"/>
        <rFont val="宋体"/>
        <family val="3"/>
        <charset val="134"/>
      </rPr>
      <t>话：</t>
    </r>
    <r>
      <rPr>
        <sz val="10"/>
        <rFont val="Times New Roman"/>
        <family val="1"/>
      </rPr>
      <t xml:space="preserve">   </t>
    </r>
  </si>
  <si>
    <t>1、KPY与贵单位业务交易情况</t>
  </si>
  <si>
    <t>业务交易情况</t>
  </si>
  <si>
    <t>项目/合同名称</t>
  </si>
  <si>
    <t>合同金额</t>
  </si>
  <si>
    <t>验收时间/服务期限（本期服务月数/总月数）[注释1]</t>
  </si>
  <si>
    <t>累计收款金额（截至2019年6月30日）</t>
  </si>
  <si>
    <t>项目应收余额（截至2019年6月30日）[注释2\3]</t>
  </si>
  <si>
    <t>本期（2019年1-6月）确认含税服务金额[注释4/5]</t>
  </si>
  <si>
    <t>截至2019年6月30日已开票含税金额</t>
  </si>
  <si>
    <t>业务类型</t>
  </si>
  <si>
    <r>
      <rPr>
        <sz val="9"/>
        <rFont val="宋体"/>
        <family val="3"/>
        <charset val="134"/>
      </rPr>
      <t>项目</t>
    </r>
    <r>
      <rPr>
        <sz val="9"/>
        <rFont val="Times New Roman"/>
        <family val="1"/>
      </rPr>
      <t>/</t>
    </r>
    <r>
      <rPr>
        <sz val="9"/>
        <rFont val="宋体"/>
        <family val="3"/>
        <charset val="134"/>
      </rPr>
      <t>合同名称</t>
    </r>
  </si>
  <si>
    <r>
      <rPr>
        <sz val="9"/>
        <rFont val="宋体"/>
        <family val="3"/>
        <charset val="134"/>
      </rPr>
      <t>合同金额</t>
    </r>
  </si>
  <si>
    <r>
      <rPr>
        <sz val="9"/>
        <rFont val="宋体"/>
        <family val="3"/>
        <charset val="134"/>
      </rPr>
      <t>验收时间</t>
    </r>
    <r>
      <rPr>
        <sz val="9"/>
        <rFont val="Times New Roman"/>
        <family val="1"/>
      </rPr>
      <t>/</t>
    </r>
    <r>
      <rPr>
        <sz val="9"/>
        <rFont val="宋体"/>
        <family val="3"/>
        <charset val="134"/>
      </rPr>
      <t>服务期限（本期服务月数</t>
    </r>
    <r>
      <rPr>
        <sz val="9"/>
        <rFont val="Times New Roman"/>
        <family val="1"/>
      </rPr>
      <t>/</t>
    </r>
    <r>
      <rPr>
        <sz val="9"/>
        <rFont val="宋体"/>
        <family val="3"/>
        <charset val="134"/>
      </rPr>
      <t>总月数）</t>
    </r>
    <r>
      <rPr>
        <sz val="9"/>
        <rFont val="Times New Roman"/>
        <family val="1"/>
      </rPr>
      <t>[</t>
    </r>
    <r>
      <rPr>
        <sz val="9"/>
        <rFont val="宋体"/>
        <family val="3"/>
        <charset val="134"/>
      </rPr>
      <t>注释</t>
    </r>
    <r>
      <rPr>
        <sz val="9"/>
        <rFont val="Times New Roman"/>
        <family val="1"/>
      </rPr>
      <t>1]</t>
    </r>
  </si>
  <si>
    <r>
      <rPr>
        <sz val="9"/>
        <rFont val="宋体"/>
        <family val="3"/>
        <charset val="134"/>
      </rPr>
      <t>累计收款金额（截至</t>
    </r>
    <r>
      <rPr>
        <sz val="9"/>
        <rFont val="Times New Roman"/>
        <family val="1"/>
      </rPr>
      <t>2019/12/31</t>
    </r>
    <r>
      <rPr>
        <sz val="9"/>
        <rFont val="宋体"/>
        <family val="3"/>
        <charset val="134"/>
      </rPr>
      <t>）</t>
    </r>
  </si>
  <si>
    <r>
      <rPr>
        <sz val="9"/>
        <rFont val="宋体"/>
        <family val="3"/>
        <charset val="134"/>
      </rPr>
      <t>项目应收余额（截至</t>
    </r>
    <r>
      <rPr>
        <sz val="9"/>
        <rFont val="Times New Roman"/>
        <family val="1"/>
      </rPr>
      <t>2019/12/31</t>
    </r>
    <r>
      <rPr>
        <sz val="9"/>
        <rFont val="宋体"/>
        <family val="3"/>
        <charset val="134"/>
      </rPr>
      <t>）</t>
    </r>
    <r>
      <rPr>
        <sz val="9"/>
        <rFont val="Times New Roman"/>
        <family val="1"/>
      </rPr>
      <t>[</t>
    </r>
    <r>
      <rPr>
        <sz val="9"/>
        <rFont val="宋体"/>
        <family val="3"/>
        <charset val="134"/>
      </rPr>
      <t>注释</t>
    </r>
    <r>
      <rPr>
        <sz val="9"/>
        <rFont val="Times New Roman"/>
        <family val="1"/>
      </rPr>
      <t>2\3]</t>
    </r>
  </si>
  <si>
    <r>
      <rPr>
        <sz val="9"/>
        <rFont val="宋体"/>
        <family val="3"/>
        <charset val="134"/>
      </rPr>
      <t>本期（</t>
    </r>
    <r>
      <rPr>
        <sz val="9"/>
        <rFont val="Times New Roman"/>
        <family val="1"/>
      </rPr>
      <t>2019</t>
    </r>
    <r>
      <rPr>
        <sz val="9"/>
        <rFont val="宋体"/>
        <family val="3"/>
        <charset val="134"/>
      </rPr>
      <t>年</t>
    </r>
    <r>
      <rPr>
        <sz val="9"/>
        <rFont val="Times New Roman"/>
        <family val="1"/>
      </rPr>
      <t>1-12</t>
    </r>
    <r>
      <rPr>
        <sz val="9"/>
        <rFont val="宋体"/>
        <family val="3"/>
        <charset val="134"/>
      </rPr>
      <t>月）确认含税服务金额</t>
    </r>
    <r>
      <rPr>
        <sz val="9"/>
        <rFont val="Times New Roman"/>
        <family val="1"/>
      </rPr>
      <t>[</t>
    </r>
    <r>
      <rPr>
        <sz val="9"/>
        <rFont val="宋体"/>
        <family val="3"/>
        <charset val="134"/>
      </rPr>
      <t>注释</t>
    </r>
    <r>
      <rPr>
        <sz val="9"/>
        <rFont val="Times New Roman"/>
        <family val="1"/>
      </rPr>
      <t>4/5]</t>
    </r>
  </si>
  <si>
    <r>
      <rPr>
        <sz val="9"/>
        <rFont val="宋体"/>
        <family val="3"/>
        <charset val="134"/>
      </rPr>
      <t>截至</t>
    </r>
    <r>
      <rPr>
        <sz val="9"/>
        <rFont val="Times New Roman"/>
        <family val="1"/>
      </rPr>
      <t>2019/12/31</t>
    </r>
    <r>
      <rPr>
        <sz val="9"/>
        <rFont val="宋体"/>
        <family val="3"/>
        <charset val="134"/>
      </rPr>
      <t>已开票含税金额</t>
    </r>
  </si>
  <si>
    <r>
      <rPr>
        <sz val="9"/>
        <rFont val="宋体"/>
        <family val="3"/>
        <charset val="134"/>
      </rPr>
      <t>业务类型</t>
    </r>
  </si>
  <si>
    <r>
      <rPr>
        <sz val="10.5"/>
        <rFont val="宋体"/>
        <family val="3"/>
        <charset val="134"/>
      </rPr>
      <t>合计</t>
    </r>
  </si>
  <si>
    <r>
      <rPr>
        <sz val="9"/>
        <rFont val="宋体"/>
        <family val="3"/>
        <charset val="134"/>
      </rPr>
      <t>注释</t>
    </r>
    <r>
      <rPr>
        <sz val="9"/>
        <rFont val="Times New Roman"/>
        <family val="1"/>
      </rPr>
      <t>1</t>
    </r>
    <r>
      <rPr>
        <sz val="9"/>
        <rFont val="宋体"/>
        <family val="3"/>
        <charset val="134"/>
      </rPr>
      <t>：若项目业务类型为技术开发，则核对验收时间；若项目业务类型为运维或云服务，则核对服务期限。该服务期限不包含质保期限</t>
    </r>
  </si>
  <si>
    <r>
      <rPr>
        <sz val="9"/>
        <rFont val="宋体"/>
        <family val="3"/>
        <charset val="134"/>
      </rPr>
      <t>注释</t>
    </r>
    <r>
      <rPr>
        <sz val="9"/>
        <rFont val="Times New Roman"/>
        <family val="1"/>
      </rPr>
      <t>2</t>
    </r>
    <r>
      <rPr>
        <sz val="9"/>
        <rFont val="宋体"/>
        <family val="3"/>
        <charset val="134"/>
      </rPr>
      <t>：技术开发类项目，若项目已完工验收，则项目应收余额</t>
    </r>
    <r>
      <rPr>
        <sz val="9"/>
        <rFont val="Times New Roman"/>
        <family val="1"/>
      </rPr>
      <t>=</t>
    </r>
    <r>
      <rPr>
        <sz val="9"/>
        <rFont val="宋体"/>
        <family val="3"/>
        <charset val="134"/>
      </rPr>
      <t>合同金额</t>
    </r>
    <r>
      <rPr>
        <sz val="9"/>
        <rFont val="Times New Roman"/>
        <family val="1"/>
      </rPr>
      <t>-</t>
    </r>
    <r>
      <rPr>
        <sz val="9"/>
        <rFont val="宋体"/>
        <family val="3"/>
        <charset val="134"/>
      </rPr>
      <t>累计收款金额。未完成验收，则项目应收余额</t>
    </r>
    <r>
      <rPr>
        <sz val="9"/>
        <rFont val="Times New Roman"/>
        <family val="1"/>
      </rPr>
      <t>=-</t>
    </r>
    <r>
      <rPr>
        <sz val="9"/>
        <rFont val="宋体"/>
        <family val="3"/>
        <charset val="134"/>
      </rPr>
      <t>累计收款金额</t>
    </r>
  </si>
  <si>
    <r>
      <rPr>
        <sz val="9"/>
        <rFont val="宋体"/>
        <family val="3"/>
        <charset val="134"/>
      </rPr>
      <t>注释</t>
    </r>
    <r>
      <rPr>
        <sz val="9"/>
        <rFont val="Times New Roman"/>
        <family val="1"/>
      </rPr>
      <t>3</t>
    </r>
    <r>
      <rPr>
        <sz val="9"/>
        <rFont val="宋体"/>
        <family val="3"/>
        <charset val="134"/>
      </rPr>
      <t>：运维或云服务类项目，项目应收余额</t>
    </r>
    <r>
      <rPr>
        <sz val="9"/>
        <rFont val="Times New Roman"/>
        <family val="1"/>
      </rPr>
      <t>=</t>
    </r>
    <r>
      <rPr>
        <sz val="9"/>
        <rFont val="宋体"/>
        <family val="3"/>
        <charset val="134"/>
      </rPr>
      <t>合同金额</t>
    </r>
    <r>
      <rPr>
        <sz val="9"/>
        <rFont val="Times New Roman"/>
        <family val="1"/>
      </rPr>
      <t>/</t>
    </r>
    <r>
      <rPr>
        <sz val="9"/>
        <rFont val="宋体"/>
        <family val="3"/>
        <charset val="134"/>
      </rPr>
      <t>服务期限（月）</t>
    </r>
    <r>
      <rPr>
        <sz val="9"/>
        <rFont val="Times New Roman"/>
        <family val="1"/>
      </rPr>
      <t>*</t>
    </r>
    <r>
      <rPr>
        <sz val="9"/>
        <rFont val="宋体"/>
        <family val="3"/>
        <charset val="134"/>
      </rPr>
      <t>截至</t>
    </r>
    <r>
      <rPr>
        <sz val="9"/>
        <rFont val="Times New Roman"/>
        <family val="1"/>
      </rPr>
      <t>2019</t>
    </r>
    <r>
      <rPr>
        <sz val="9"/>
        <rFont val="宋体"/>
        <family val="3"/>
        <charset val="134"/>
      </rPr>
      <t>年</t>
    </r>
    <r>
      <rPr>
        <sz val="9"/>
        <rFont val="Times New Roman"/>
        <family val="1"/>
      </rPr>
      <t>6</t>
    </r>
    <r>
      <rPr>
        <sz val="9"/>
        <rFont val="宋体"/>
        <family val="3"/>
        <charset val="134"/>
      </rPr>
      <t>月</t>
    </r>
    <r>
      <rPr>
        <sz val="9"/>
        <rFont val="Times New Roman"/>
        <family val="1"/>
      </rPr>
      <t>30</t>
    </r>
    <r>
      <rPr>
        <sz val="9"/>
        <rFont val="宋体"/>
        <family val="3"/>
        <charset val="134"/>
      </rPr>
      <t>日累计已提供服务期（月）</t>
    </r>
    <r>
      <rPr>
        <sz val="9"/>
        <rFont val="Times New Roman"/>
        <family val="1"/>
      </rPr>
      <t>-</t>
    </r>
    <r>
      <rPr>
        <sz val="9"/>
        <rFont val="宋体"/>
        <family val="3"/>
        <charset val="134"/>
      </rPr>
      <t>累计收款金额</t>
    </r>
  </si>
  <si>
    <r>
      <rPr>
        <sz val="9"/>
        <rFont val="宋体"/>
        <family val="3"/>
        <charset val="134"/>
      </rPr>
      <t>注释</t>
    </r>
    <r>
      <rPr>
        <sz val="9"/>
        <rFont val="Times New Roman"/>
        <family val="1"/>
      </rPr>
      <t>4</t>
    </r>
    <r>
      <rPr>
        <sz val="9"/>
        <rFont val="宋体"/>
        <family val="3"/>
        <charset val="134"/>
      </rPr>
      <t>：技术开发类项目，若项目验收时间在</t>
    </r>
    <r>
      <rPr>
        <sz val="9"/>
        <rFont val="Times New Roman"/>
        <family val="1"/>
      </rPr>
      <t>2019</t>
    </r>
    <r>
      <rPr>
        <sz val="9"/>
        <rFont val="宋体"/>
        <family val="3"/>
        <charset val="134"/>
      </rPr>
      <t>年</t>
    </r>
    <r>
      <rPr>
        <sz val="9"/>
        <rFont val="Times New Roman"/>
        <family val="1"/>
      </rPr>
      <t>1-6</t>
    </r>
    <r>
      <rPr>
        <sz val="9"/>
        <rFont val="宋体"/>
        <family val="3"/>
        <charset val="134"/>
      </rPr>
      <t>月期间，则本期确认含税服务金额</t>
    </r>
    <r>
      <rPr>
        <sz val="9"/>
        <rFont val="Times New Roman"/>
        <family val="1"/>
      </rPr>
      <t>=</t>
    </r>
    <r>
      <rPr>
        <sz val="9"/>
        <rFont val="宋体"/>
        <family val="3"/>
        <charset val="134"/>
      </rPr>
      <t>项目合同金额，项目未验收的，则本期确认交易额为</t>
    </r>
    <r>
      <rPr>
        <sz val="9"/>
        <rFont val="Times New Roman"/>
        <family val="1"/>
      </rPr>
      <t>0</t>
    </r>
    <r>
      <rPr>
        <sz val="9"/>
        <rFont val="宋体"/>
        <family val="3"/>
        <charset val="134"/>
      </rPr>
      <t>。</t>
    </r>
  </si>
  <si>
    <r>
      <rPr>
        <sz val="9"/>
        <rFont val="宋体"/>
        <family val="3"/>
        <charset val="134"/>
      </rPr>
      <t>注释</t>
    </r>
    <r>
      <rPr>
        <sz val="9"/>
        <rFont val="Times New Roman"/>
        <family val="1"/>
      </rPr>
      <t>5</t>
    </r>
    <r>
      <rPr>
        <sz val="9"/>
        <rFont val="宋体"/>
        <family val="3"/>
        <charset val="134"/>
      </rPr>
      <t>：运维或云服务类项目，本期确认提供服务金额</t>
    </r>
    <r>
      <rPr>
        <sz val="9"/>
        <rFont val="Times New Roman"/>
        <family val="1"/>
      </rPr>
      <t>=</t>
    </r>
    <r>
      <rPr>
        <sz val="9"/>
        <rFont val="宋体"/>
        <family val="3"/>
        <charset val="134"/>
      </rPr>
      <t>合同金额</t>
    </r>
    <r>
      <rPr>
        <sz val="9"/>
        <rFont val="Times New Roman"/>
        <family val="1"/>
      </rPr>
      <t>/</t>
    </r>
    <r>
      <rPr>
        <sz val="9"/>
        <rFont val="宋体"/>
        <family val="3"/>
        <charset val="134"/>
      </rPr>
      <t>服务期限（月）</t>
    </r>
    <r>
      <rPr>
        <sz val="9"/>
        <rFont val="Times New Roman"/>
        <family val="1"/>
      </rPr>
      <t>*2019</t>
    </r>
    <r>
      <rPr>
        <sz val="9"/>
        <rFont val="宋体"/>
        <family val="3"/>
        <charset val="134"/>
      </rPr>
      <t>年</t>
    </r>
    <r>
      <rPr>
        <sz val="9"/>
        <rFont val="Times New Roman"/>
        <family val="1"/>
      </rPr>
      <t>1-6</t>
    </r>
    <r>
      <rPr>
        <sz val="9"/>
        <rFont val="宋体"/>
        <family val="3"/>
        <charset val="134"/>
      </rPr>
      <t>月提供服务期（月）</t>
    </r>
  </si>
  <si>
    <r>
      <rPr>
        <sz val="10"/>
        <rFont val="Times New Roman"/>
        <family val="1"/>
      </rPr>
      <t>2</t>
    </r>
    <r>
      <rPr>
        <sz val="10"/>
        <rFont val="宋体"/>
        <family val="3"/>
        <charset val="134"/>
      </rPr>
      <t>、其他事项</t>
    </r>
  </si>
  <si>
    <r>
      <rPr>
        <sz val="9"/>
        <rFont val="宋体"/>
        <family val="3"/>
        <charset val="134"/>
      </rPr>
      <t>本函仅为复核账目之用，并非催款结算。若款项在上述日期之后已经结清，仍请及时函复为盼。</t>
    </r>
  </si>
  <si>
    <r>
      <rPr>
        <sz val="10"/>
        <rFont val="宋体"/>
        <family val="3"/>
        <charset val="134"/>
      </rPr>
      <t>结论：</t>
    </r>
    <r>
      <rPr>
        <sz val="10"/>
        <rFont val="Times New Roman"/>
        <family val="1"/>
      </rPr>
      <t>1</t>
    </r>
    <r>
      <rPr>
        <sz val="10"/>
        <rFont val="宋体"/>
        <family val="3"/>
        <charset val="134"/>
      </rPr>
      <t>、信息证明无误。</t>
    </r>
  </si>
  <si>
    <t>2、信息不符，请列明不符项目及具体内容（其他未在本函列出的项目，请列出金额及其详细资料）。</t>
  </si>
  <si>
    <r>
      <rPr>
        <sz val="10"/>
        <rFont val="宋体"/>
        <family val="3"/>
        <charset val="134"/>
      </rPr>
      <t>年</t>
    </r>
    <r>
      <rPr>
        <sz val="10"/>
        <rFont val="Times New Roman"/>
        <family val="1"/>
      </rPr>
      <t xml:space="preserve">         </t>
    </r>
    <r>
      <rPr>
        <sz val="10"/>
        <rFont val="宋体"/>
        <family val="3"/>
        <charset val="134"/>
      </rPr>
      <t>月</t>
    </r>
    <r>
      <rPr>
        <sz val="10"/>
        <rFont val="Times New Roman"/>
        <family val="1"/>
      </rPr>
      <t xml:space="preserve">        </t>
    </r>
    <r>
      <rPr>
        <sz val="10"/>
        <rFont val="宋体"/>
        <family val="3"/>
        <charset val="134"/>
      </rPr>
      <t>日</t>
    </r>
  </si>
  <si>
    <r>
      <rPr>
        <sz val="10"/>
        <rFont val="宋体"/>
        <family val="3"/>
        <charset val="134"/>
      </rPr>
      <t>年</t>
    </r>
    <r>
      <rPr>
        <sz val="10"/>
        <rFont val="Times New Roman"/>
        <family val="1"/>
      </rPr>
      <t xml:space="preserve">        </t>
    </r>
    <r>
      <rPr>
        <sz val="10"/>
        <rFont val="宋体"/>
        <family val="3"/>
        <charset val="134"/>
      </rPr>
      <t>月</t>
    </r>
    <r>
      <rPr>
        <sz val="10"/>
        <rFont val="Times New Roman"/>
        <family val="1"/>
      </rPr>
      <t xml:space="preserve">        </t>
    </r>
    <r>
      <rPr>
        <sz val="10"/>
        <rFont val="宋体"/>
        <family val="3"/>
        <charset val="134"/>
      </rPr>
      <t>日</t>
    </r>
  </si>
  <si>
    <t>Code.</t>
  </si>
  <si>
    <t xml:space="preserve">Ref NO. </t>
  </si>
  <si>
    <t>100502-9-4-01p</t>
  </si>
  <si>
    <t>Dear Sirs,</t>
  </si>
  <si>
    <t>Request for Bank Confirmation for audit purposes</t>
  </si>
  <si>
    <t xml:space="preserve">Customer’s name:    </t>
  </si>
  <si>
    <t>F5</t>
  </si>
  <si>
    <r>
      <rPr>
        <sz val="11"/>
        <color theme="1"/>
        <rFont val="等线"/>
        <family val="3"/>
        <charset val="134"/>
        <scheme val="minor"/>
      </rPr>
      <t xml:space="preserve">For the purposes of our annual audit please complete the attached form to show the following information relating to our affairs with your bank as at the close of business on  </t>
    </r>
    <r>
      <rPr>
        <u/>
        <sz val="11"/>
        <color theme="1"/>
        <rFont val="等线"/>
        <family val="3"/>
        <charset val="134"/>
        <scheme val="minor"/>
      </rPr>
      <t xml:space="preserve">31 December, 2018        </t>
    </r>
    <r>
      <rPr>
        <sz val="11"/>
        <color theme="1"/>
        <rFont val="等线"/>
        <family val="3"/>
        <charset val="134"/>
        <scheme val="minor"/>
      </rPr>
      <t xml:space="preserve">          </t>
    </r>
  </si>
  <si>
    <t>For each item, please state any factors which may limit the completeness of your reply; if there is nothing to report, state “none”.</t>
  </si>
  <si>
    <r>
      <rPr>
        <sz val="9"/>
        <color theme="1"/>
        <rFont val="Arial"/>
        <family val="2"/>
      </rPr>
      <t xml:space="preserve">You are hereby authorized to return this request after completion and together with any remarks you may have to our auditors: 
</t>
    </r>
    <r>
      <rPr>
        <b/>
        <sz val="9"/>
        <color theme="1"/>
        <rFont val="Arial"/>
        <family val="2"/>
      </rPr>
      <t>Address: Pan-China C ertified Public Accountants
4F, Building A2, Poly YuZhu Plaza, 856 East Huangpu Avenue, Huangpu District, Guangzhou, China</t>
    </r>
  </si>
  <si>
    <r>
      <rPr>
        <b/>
        <sz val="9"/>
        <color rgb="FF000000"/>
        <rFont val="Arial"/>
        <family val="2"/>
      </rPr>
      <t>Contact: Confirmation Center        Tel</t>
    </r>
    <r>
      <rPr>
        <b/>
        <sz val="9"/>
        <color rgb="FF000000"/>
        <rFont val="宋体"/>
        <family val="3"/>
        <charset val="134"/>
      </rPr>
      <t>：</t>
    </r>
    <r>
      <rPr>
        <b/>
        <sz val="9"/>
        <color rgb="FF000000"/>
        <rFont val="Arial"/>
        <family val="2"/>
      </rPr>
      <t>+(86)138-2437-6760</t>
    </r>
    <r>
      <rPr>
        <sz val="10"/>
        <color theme="1"/>
        <rFont val="Times New Roman"/>
        <family val="1"/>
      </rPr>
      <t xml:space="preserve">            </t>
    </r>
    <r>
      <rPr>
        <b/>
        <sz val="10"/>
        <color theme="1"/>
        <rFont val="Times New Roman"/>
        <family val="1"/>
      </rPr>
      <t>Fax: 86 (755) 82521870</t>
    </r>
  </si>
  <si>
    <t>表头</t>
  </si>
  <si>
    <r>
      <rPr>
        <sz val="9"/>
        <color theme="1"/>
        <rFont val="Arial"/>
        <family val="2"/>
      </rPr>
      <t xml:space="preserve">If you have any question about this confirmation, please contact the auditor of this confirmation: </t>
    </r>
    <r>
      <rPr>
        <u/>
        <sz val="9"/>
        <color theme="1"/>
        <rFont val="Arial"/>
        <family val="2"/>
      </rPr>
      <t xml:space="preserve">zhangsan, </t>
    </r>
    <r>
      <rPr>
        <u/>
        <sz val="9"/>
        <color rgb="FF000000"/>
        <rFont val="Arial"/>
        <family val="2"/>
      </rPr>
      <t>+(86)123-1234-1234.</t>
    </r>
  </si>
  <si>
    <t>ITEM1</t>
  </si>
  <si>
    <t>Currency</t>
  </si>
  <si>
    <t xml:space="preserve">Receipt no. </t>
  </si>
  <si>
    <t>Amount</t>
  </si>
  <si>
    <t xml:space="preserve">Interest rate </t>
  </si>
  <si>
    <t>Due date</t>
  </si>
  <si>
    <t>ITEM2</t>
  </si>
  <si>
    <t>Account no.</t>
  </si>
  <si>
    <t>Balance</t>
  </si>
  <si>
    <r>
      <rPr>
        <sz val="9"/>
        <color theme="1"/>
        <rFont val="Arial"/>
        <family val="2"/>
      </rPr>
      <t>You are hereby authorized to debit any charge for this service to our account number</t>
    </r>
    <r>
      <rPr>
        <u/>
        <sz val="9"/>
        <color theme="1"/>
        <rFont val="Arial"/>
        <family val="2"/>
      </rPr>
      <t xml:space="preserve">       </t>
    </r>
  </si>
  <si>
    <t>ITEM3</t>
  </si>
  <si>
    <t>ITEM4</t>
  </si>
  <si>
    <t>Types of facilities</t>
  </si>
  <si>
    <t>Reference no.</t>
  </si>
  <si>
    <t>Interest rate</t>
  </si>
  <si>
    <t>Maturity Date</t>
  </si>
  <si>
    <t>Guarantor</t>
  </si>
  <si>
    <t>……………………………………………………………………………………………………………………………………</t>
  </si>
  <si>
    <t>ITEM5</t>
  </si>
  <si>
    <t xml:space="preserve">It is understood that your reply to this request will in no way prejudice your rights in respect of your General Lien as Bankers.  </t>
  </si>
  <si>
    <t>ITEM6</t>
  </si>
  <si>
    <t xml:space="preserve">Account no. </t>
  </si>
  <si>
    <t>Account type</t>
  </si>
  <si>
    <t>Date closed</t>
  </si>
  <si>
    <t>Yours faithfully</t>
  </si>
  <si>
    <t>(Authorized signature/s and chop)</t>
  </si>
  <si>
    <r>
      <rPr>
        <b/>
        <sz val="9"/>
        <color theme="1"/>
        <rFont val="Arial"/>
        <family val="2"/>
      </rPr>
      <t>Item 1</t>
    </r>
    <r>
      <rPr>
        <sz val="9"/>
        <color theme="1"/>
        <rFont val="Arial"/>
        <family val="2"/>
      </rPr>
      <t xml:space="preserve">     Deposits, fixed or at call held per your bank</t>
    </r>
  </si>
  <si>
    <r>
      <rPr>
        <b/>
        <sz val="9"/>
        <color theme="1"/>
        <rFont val="Arial"/>
        <family val="2"/>
      </rPr>
      <t>Item 2</t>
    </r>
    <r>
      <rPr>
        <sz val="9"/>
        <color theme="1"/>
        <rFont val="Arial"/>
        <family val="2"/>
      </rPr>
      <t xml:space="preserve">     Saving accounts held per your bank</t>
    </r>
  </si>
  <si>
    <r>
      <rPr>
        <b/>
        <sz val="9"/>
        <color theme="1"/>
        <rFont val="Arial"/>
        <family val="2"/>
      </rPr>
      <t>Item 3</t>
    </r>
    <r>
      <rPr>
        <sz val="9"/>
        <color theme="1"/>
        <rFont val="Arial"/>
        <family val="2"/>
      </rPr>
      <t xml:space="preserve">     Current account balance/s held per your bank.  Please state whether in credit (Cr) or overdrawn (Dr).</t>
    </r>
  </si>
  <si>
    <r>
      <rPr>
        <b/>
        <sz val="9"/>
        <color theme="1"/>
        <rFont val="Arial"/>
        <family val="2"/>
      </rPr>
      <t xml:space="preserve">Item 4     </t>
    </r>
    <r>
      <rPr>
        <sz val="9"/>
        <color theme="1"/>
        <rFont val="Arial"/>
        <family val="2"/>
      </rPr>
      <t>Facilities granted by your bank.  Please state by types of facilities[1]</t>
    </r>
  </si>
  <si>
    <r>
      <rPr>
        <b/>
        <sz val="9"/>
        <color theme="1"/>
        <rFont val="Arial"/>
        <family val="2"/>
      </rPr>
      <t xml:space="preserve">Item 5     </t>
    </r>
    <r>
      <rPr>
        <sz val="9"/>
        <color theme="1"/>
        <rFont val="Arial"/>
        <family val="2"/>
      </rPr>
      <t>Loan account debit balance/s (excluding loans in connection with inward cargoes) per your bank</t>
    </r>
  </si>
  <si>
    <r>
      <rPr>
        <b/>
        <sz val="9"/>
        <color theme="1"/>
        <rFont val="Arial"/>
        <family val="2"/>
      </rPr>
      <t>Item 6</t>
    </r>
    <r>
      <rPr>
        <sz val="9"/>
        <color theme="1"/>
        <rFont val="Arial"/>
        <family val="2"/>
      </rPr>
      <t xml:space="preserve">     Accounts closed during the year to confirmation date</t>
    </r>
  </si>
  <si>
    <r>
      <rPr>
        <b/>
        <sz val="9"/>
        <color theme="1"/>
        <rFont val="Arial"/>
        <family val="2"/>
      </rPr>
      <t xml:space="preserve">Item 7     </t>
    </r>
    <r>
      <rPr>
        <sz val="9"/>
        <color theme="1"/>
        <rFont val="Arial"/>
        <family val="2"/>
      </rPr>
      <t>Advances to manufacturers and/or packing credits account and/or exports loans granted outstanding per your bank</t>
    </r>
  </si>
  <si>
    <r>
      <rPr>
        <b/>
        <sz val="11"/>
        <color theme="1"/>
        <rFont val="等线"/>
        <family val="3"/>
        <charset val="134"/>
        <scheme val="minor"/>
      </rPr>
      <t xml:space="preserve">Item 8    </t>
    </r>
    <r>
      <rPr>
        <sz val="11"/>
        <color theme="1"/>
        <rFont val="等线"/>
        <family val="3"/>
        <charset val="134"/>
        <scheme val="minor"/>
      </rPr>
      <t xml:space="preserve"> Acceptances outstanding per your bank</t>
    </r>
  </si>
  <si>
    <t xml:space="preserve">Reference no. </t>
  </si>
  <si>
    <t>Issue date</t>
  </si>
  <si>
    <t>Maturity date</t>
  </si>
  <si>
    <t>Bills receivable by you (Banker)</t>
  </si>
  <si>
    <t>of which, goods released against Trust Receipt</t>
  </si>
  <si>
    <t>Bills held by you for collection</t>
  </si>
  <si>
    <t xml:space="preserve">Item 9     Partial payments held by your bank </t>
  </si>
  <si>
    <t>On account of Item 8</t>
  </si>
  <si>
    <t>Item 10     Irrevocable letters of credit outstanding per your bank</t>
  </si>
  <si>
    <t xml:space="preserve">Balance unutilized  </t>
  </si>
  <si>
    <t>Expiry date</t>
  </si>
  <si>
    <t>Item 11     Bills receivable by us (customer)</t>
  </si>
  <si>
    <t xml:space="preserve">Item 12     Margin deposits held by your bank </t>
  </si>
  <si>
    <t>On account of Item 8 and Item 10</t>
  </si>
  <si>
    <t>On account of Item 11</t>
  </si>
  <si>
    <t>Item 13     Loans granted in connection with inwards cargoes outstanding per your bank</t>
  </si>
  <si>
    <t xml:space="preserve">Amount </t>
  </si>
  <si>
    <t>Details of cargo</t>
  </si>
  <si>
    <t>Item 14     Guarantees</t>
  </si>
  <si>
    <t>Given by you on our behalf</t>
  </si>
  <si>
    <t>To whom issued</t>
  </si>
  <si>
    <t>Notional amount</t>
  </si>
  <si>
    <r>
      <rPr>
        <sz val="11"/>
        <color theme="1"/>
        <rFont val="等线"/>
        <family val="3"/>
        <charset val="134"/>
        <scheme val="minor"/>
      </rPr>
      <t xml:space="preserve">i) </t>
    </r>
    <r>
      <rPr>
        <sz val="7"/>
        <color theme="1"/>
        <rFont val="Times New Roman"/>
        <family val="1"/>
      </rPr>
      <t xml:space="preserve">     </t>
    </r>
    <r>
      <rPr>
        <sz val="9"/>
        <color theme="1"/>
        <rFont val="Arial"/>
        <family val="2"/>
      </rPr>
      <t>Shipping guarantees</t>
    </r>
  </si>
  <si>
    <t>ii) 	Others (Specify the type of guarantee e.g. financial guarantee, performance bond, etc.)</t>
  </si>
  <si>
    <t>Received by you on our behalf</t>
  </si>
  <si>
    <t>Item 15     Derivative contracts / structured product contracts  outstanding</t>
  </si>
  <si>
    <t>Contract no.</t>
  </si>
  <si>
    <t>Contract rate</t>
  </si>
  <si>
    <r>
      <rPr>
        <sz val="9"/>
        <color theme="1"/>
        <rFont val="Arial"/>
        <family val="2"/>
      </rPr>
      <t>i)</t>
    </r>
    <r>
      <rPr>
        <sz val="7"/>
        <color theme="1"/>
        <rFont val="Times New Roman"/>
        <family val="1"/>
      </rPr>
      <t xml:space="preserve">   </t>
    </r>
    <r>
      <rPr>
        <sz val="9"/>
        <color theme="1"/>
        <rFont val="Arial"/>
        <family val="2"/>
      </rPr>
      <t>Exchange rate contracts</t>
    </r>
  </si>
  <si>
    <r>
      <rPr>
        <sz val="9"/>
        <color theme="1"/>
        <rFont val="Arial"/>
        <family val="2"/>
      </rPr>
      <t>i)</t>
    </r>
    <r>
      <rPr>
        <sz val="7"/>
        <color theme="1"/>
        <rFont val="Times New Roman"/>
        <family val="1"/>
      </rPr>
      <t xml:space="preserve">  </t>
    </r>
    <r>
      <rPr>
        <sz val="9"/>
        <color theme="1"/>
        <rFont val="Arial"/>
        <family val="2"/>
      </rPr>
      <t>Interest rate contracts</t>
    </r>
  </si>
  <si>
    <t>iii)Other derivative contracts/structured product contracts</t>
  </si>
  <si>
    <t>Item 16    Other direct or contingent liabilities to your bank</t>
  </si>
  <si>
    <r>
      <rPr>
        <b/>
        <sz val="9"/>
        <color theme="1"/>
        <rFont val="Arial"/>
        <family val="2"/>
      </rPr>
      <t>Item 17</t>
    </r>
    <r>
      <rPr>
        <sz val="9"/>
        <color theme="1"/>
        <rFont val="Arial"/>
        <family val="2"/>
      </rPr>
      <t xml:space="preserve">    Securities and other documents of title held by your bank</t>
    </r>
  </si>
  <si>
    <t>Against facilities granted</t>
  </si>
  <si>
    <t>For safe custody</t>
  </si>
  <si>
    <t xml:space="preserve">Bankers’ Confirmation </t>
  </si>
  <si>
    <t>We confirm that the balances and information which we have inserted under items 1 to 17 above are correct and complete.</t>
  </si>
  <si>
    <t>This information is given in strictest confidence, for the purposes of your audit, without any responsibility for error or omission on the part of this Bank, its employees, agents or informants.</t>
  </si>
  <si>
    <t>Authorised signatory for and on behalf of the Bank</t>
  </si>
  <si>
    <t>CONFIRMATION OF BALANCE</t>
  </si>
  <si>
    <t>QR CODE</t>
  </si>
  <si>
    <t>Ref N.O.</t>
  </si>
  <si>
    <t>Dear Sir/Madam:</t>
  </si>
  <si>
    <r>
      <rPr>
        <sz val="12"/>
        <rFont val="Times New Roman"/>
        <family val="1"/>
      </rPr>
      <t xml:space="preserve">      We are very honored if you will kindly confirm directly to our auditors, Pan-China Certified Public Accountants, the following balance outstanding with you and the business transactions by signing in the space indicated below, should you find that the balance is incorrect, please give full details of the difference directly to our auditors.
This is not a request for payment, but for audit verification purposes only.
We really appreciate that you send the original paper to the accountants by post. The addresse as follows:
Address</t>
    </r>
    <r>
      <rPr>
        <sz val="12"/>
        <rFont val="宋体"/>
        <family val="3"/>
        <charset val="134"/>
      </rPr>
      <t>：</t>
    </r>
    <r>
      <rPr>
        <sz val="12"/>
        <rFont val="Times New Roman"/>
        <family val="1"/>
      </rPr>
      <t>4F, Building A2, Poly YuZhu Plaza, 856 East Huangpu Avenue, Huangpu District, Guangzhou, China
Post code:510710          Recipient: zhangsan            Mobile:086-123-1234-1234</t>
    </r>
  </si>
  <si>
    <t>F3</t>
  </si>
  <si>
    <t>According to our records, the balance on your account as at is as follows:</t>
  </si>
  <si>
    <t>Up to</t>
  </si>
  <si>
    <t>Due to you</t>
  </si>
  <si>
    <t>Due from you</t>
  </si>
  <si>
    <t>Memo</t>
  </si>
  <si>
    <t/>
  </si>
  <si>
    <t>Accounting period</t>
  </si>
  <si>
    <t>Nature of Transactions</t>
  </si>
  <si>
    <t>Amount of Transactions</t>
  </si>
  <si>
    <t>According to our records, the business transactions with you is as follows:</t>
  </si>
  <si>
    <t>Should the above balance have been paid, still required confirmation your prompt attention to this request will be appreciated.</t>
  </si>
  <si>
    <t>Sincerely yours</t>
  </si>
  <si>
    <t>We confirm to above to be correct:</t>
  </si>
  <si>
    <t>Giving full details of difference:</t>
  </si>
  <si>
    <r>
      <rPr>
        <sz val="10.5"/>
        <color theme="1"/>
        <rFont val="Times New Roman"/>
        <family val="1"/>
      </rPr>
      <t>Signature:</t>
    </r>
    <r>
      <rPr>
        <u/>
        <sz val="10.5"/>
        <color theme="1"/>
        <rFont val="Times New Roman"/>
        <family val="1"/>
      </rPr>
      <t xml:space="preserve">                  </t>
    </r>
    <r>
      <rPr>
        <sz val="10.5"/>
        <color theme="1"/>
        <rFont val="Times New Roman"/>
        <family val="1"/>
      </rPr>
      <t xml:space="preserve">           </t>
    </r>
  </si>
  <si>
    <t xml:space="preserve">Signature:   </t>
  </si>
  <si>
    <r>
      <rPr>
        <sz val="10.5"/>
        <color theme="1"/>
        <rFont val="Times New Roman"/>
        <family val="1"/>
      </rPr>
      <t xml:space="preserve">Date: </t>
    </r>
    <r>
      <rPr>
        <u/>
        <sz val="10.5"/>
        <color theme="1"/>
        <rFont val="Times New Roman"/>
        <family val="1"/>
      </rPr>
      <t xml:space="preserve">                     </t>
    </r>
    <r>
      <rPr>
        <sz val="10.5"/>
        <color theme="1"/>
        <rFont val="Times New Roman"/>
        <family val="1"/>
      </rPr>
      <t xml:space="preserve">    </t>
    </r>
  </si>
  <si>
    <t xml:space="preserve">Date:         </t>
  </si>
  <si>
    <t xml:space="preserve">CONFIRMATION OF BALANCES      </t>
  </si>
  <si>
    <t>Our auditor, Pan-China Certified Public Accountants LLP GuangDong branch company  is currently performing an audit of our financial statements .In accordance with the requirements of China’s Auditing Standards, our auditor has asked us to obtain your confirmation of the balances shown in our records as owing from you and to you. The balances included in the table below are extracted from our books and records. If the balances agree with your records, please confirm by signing below your company chop under the column “balance agreed”. If there are any discrepancies, please list out the discrepancies and sign with your company chop under the column “balance disagreed”. Please return the confirmation DIRECTLY to our auditor at the below address using the enclosed address envelope:</t>
  </si>
  <si>
    <r>
      <rPr>
        <b/>
        <sz val="10.5"/>
        <rFont val="Times New Roman"/>
        <family val="1"/>
      </rPr>
      <t>Return Postal Address</t>
    </r>
    <r>
      <rPr>
        <b/>
        <sz val="10.5"/>
        <rFont val="宋体"/>
        <family val="3"/>
        <charset val="134"/>
      </rPr>
      <t>：</t>
    </r>
    <r>
      <rPr>
        <b/>
        <sz val="10.5"/>
        <rFont val="Times New Roman"/>
        <family val="1"/>
      </rPr>
      <t>4F, Building A2, Poly YuZhu Plaza, 856 East Huangpu Avenue, Huangpu District, Guangzhou, China</t>
    </r>
  </si>
  <si>
    <t>Ended date</t>
  </si>
  <si>
    <t xml:space="preserve">Currency </t>
  </si>
  <si>
    <t>Due to 
us by your company</t>
  </si>
  <si>
    <t>Due to
 your company by us</t>
  </si>
  <si>
    <t>Balance as at</t>
  </si>
  <si>
    <r>
      <rPr>
        <b/>
        <sz val="10.5"/>
        <rFont val="Times New Roman"/>
        <family val="1"/>
      </rPr>
      <t>Tel</t>
    </r>
    <r>
      <rPr>
        <b/>
        <sz val="10.5"/>
        <rFont val="宋体"/>
        <family val="3"/>
        <charset val="134"/>
      </rPr>
      <t>：</t>
    </r>
  </si>
  <si>
    <r>
      <rPr>
        <b/>
        <sz val="10.5"/>
        <rFont val="Times New Roman"/>
        <family val="1"/>
      </rPr>
      <t>E-mail</t>
    </r>
    <r>
      <rPr>
        <b/>
        <sz val="10.5"/>
        <rFont val="宋体"/>
        <family val="3"/>
        <charset val="134"/>
      </rPr>
      <t>：</t>
    </r>
  </si>
  <si>
    <t>Period</t>
  </si>
  <si>
    <t>Our sales amount to your company</t>
  </si>
  <si>
    <t>Purchase amount to your company</t>
  </si>
  <si>
    <t>Transactions</t>
  </si>
  <si>
    <r>
      <rPr>
        <b/>
        <sz val="10.5"/>
        <rFont val="Times New Roman"/>
        <family val="1"/>
      </rPr>
      <t>Zip Code</t>
    </r>
    <r>
      <rPr>
        <b/>
        <sz val="10.5"/>
        <rFont val="宋体"/>
        <family val="3"/>
        <charset val="134"/>
      </rPr>
      <t>：</t>
    </r>
    <r>
      <rPr>
        <b/>
        <sz val="10.5"/>
        <rFont val="Times New Roman"/>
        <family val="1"/>
      </rPr>
      <t>510710</t>
    </r>
  </si>
  <si>
    <r>
      <rPr>
        <b/>
        <sz val="10.5"/>
        <rFont val="Times New Roman"/>
        <family val="1"/>
      </rPr>
      <t>Contact Person</t>
    </r>
    <r>
      <rPr>
        <b/>
        <sz val="10.5"/>
        <rFont val="宋体"/>
        <family val="3"/>
        <charset val="134"/>
      </rPr>
      <t>：</t>
    </r>
  </si>
  <si>
    <t xml:space="preserve">                         </t>
  </si>
  <si>
    <r>
      <rPr>
        <sz val="10.5"/>
        <rFont val="Times New Roman"/>
        <family val="1"/>
      </rPr>
      <t xml:space="preserve">       1</t>
    </r>
    <r>
      <rPr>
        <sz val="10.5"/>
        <rFont val="宋体"/>
        <family val="3"/>
        <charset val="134"/>
      </rPr>
      <t>、</t>
    </r>
    <r>
      <rPr>
        <sz val="10.5"/>
        <rFont val="Times New Roman"/>
        <family val="1"/>
      </rPr>
      <t>Current accounts between our company and your company</t>
    </r>
    <r>
      <rPr>
        <sz val="10.5"/>
        <rFont val="宋体"/>
        <family val="3"/>
        <charset val="134"/>
      </rPr>
      <t>：</t>
    </r>
  </si>
  <si>
    <r>
      <rPr>
        <sz val="10.5"/>
        <rFont val="Times New Roman"/>
        <family val="1"/>
      </rPr>
      <t xml:space="preserve">       2</t>
    </r>
    <r>
      <rPr>
        <sz val="10.5"/>
        <rFont val="宋体"/>
        <family val="3"/>
        <charset val="134"/>
      </rPr>
      <t>、</t>
    </r>
    <r>
      <rPr>
        <sz val="10.5"/>
        <rFont val="Times New Roman"/>
        <family val="1"/>
      </rPr>
      <t>Sales and purchasing amount as follows</t>
    </r>
    <r>
      <rPr>
        <sz val="10.5"/>
        <rFont val="宋体"/>
        <family val="3"/>
        <charset val="134"/>
      </rPr>
      <t>：</t>
    </r>
  </si>
  <si>
    <t>This is for audit purposes only and is not a request for settlement. If the above balances have been settled after the date stated in the table, please still confirm at your earliest convenience.</t>
  </si>
  <si>
    <t>Yours faithfully,</t>
  </si>
  <si>
    <r>
      <rPr>
        <sz val="10.5"/>
        <rFont val="宋体"/>
        <family val="3"/>
        <charset val="134"/>
      </rPr>
      <t>（</t>
    </r>
    <r>
      <rPr>
        <sz val="10.5"/>
        <rFont val="Times New Roman"/>
        <family val="1"/>
      </rPr>
      <t>Signature and Company Chop</t>
    </r>
    <r>
      <rPr>
        <sz val="10.5"/>
        <rFont val="宋体"/>
        <family val="3"/>
        <charset val="134"/>
      </rPr>
      <t>）</t>
    </r>
  </si>
  <si>
    <t xml:space="preserve">  Balance agreed </t>
  </si>
  <si>
    <t xml:space="preserve"> Balance disagreed</t>
  </si>
  <si>
    <t>Details of discrepancies:</t>
  </si>
  <si>
    <t>Signature and Company Chop</t>
  </si>
  <si>
    <r>
      <rPr>
        <b/>
        <sz val="16"/>
        <rFont val="宋体"/>
        <family val="3"/>
        <charset val="134"/>
      </rPr>
      <t>往来账项询证函</t>
    </r>
  </si>
  <si>
    <t>E3</t>
  </si>
  <si>
    <t>单位：天健会计师事务所（特殊普通合伙）广东分所</t>
  </si>
  <si>
    <r>
      <rPr>
        <sz val="10"/>
        <rFont val="宋体"/>
        <family val="3"/>
        <charset val="134"/>
      </rPr>
      <t>地址：</t>
    </r>
    <r>
      <rPr>
        <sz val="10"/>
        <rFont val="Times New Roman"/>
        <family val="1"/>
      </rPr>
      <t xml:space="preserve"> </t>
    </r>
    <r>
      <rPr>
        <sz val="10"/>
        <rFont val="宋体"/>
        <family val="3"/>
        <charset val="134"/>
      </rPr>
      <t>广州市黄埔区黄埔大道东</t>
    </r>
    <r>
      <rPr>
        <sz val="10"/>
        <rFont val="Times New Roman"/>
        <family val="1"/>
      </rPr>
      <t>856</t>
    </r>
    <r>
      <rPr>
        <sz val="10"/>
        <rFont val="宋体"/>
        <family val="3"/>
        <charset val="134"/>
      </rPr>
      <t>号保利鱼珠港</t>
    </r>
    <r>
      <rPr>
        <sz val="10"/>
        <rFont val="Times New Roman"/>
        <family val="1"/>
      </rPr>
      <t>A2</t>
    </r>
    <r>
      <rPr>
        <sz val="10"/>
        <rFont val="宋体"/>
        <family val="3"/>
        <charset val="134"/>
      </rPr>
      <t>栋</t>
    </r>
    <r>
      <rPr>
        <sz val="10"/>
        <rFont val="Times New Roman"/>
        <family val="1"/>
      </rPr>
      <t>4</t>
    </r>
    <r>
      <rPr>
        <sz val="10"/>
        <rFont val="宋体"/>
        <family val="3"/>
        <charset val="134"/>
      </rPr>
      <t>楼函证中心</t>
    </r>
  </si>
  <si>
    <t>函证收件人：A审计员</t>
  </si>
  <si>
    <t>行数</t>
  </si>
  <si>
    <r>
      <rPr>
        <sz val="10"/>
        <rFont val="Times New Roman"/>
        <family val="1"/>
      </rPr>
      <t>1</t>
    </r>
    <r>
      <rPr>
        <sz val="10"/>
        <rFont val="宋体"/>
        <family val="3"/>
        <charset val="134"/>
      </rPr>
      <t>、工程项目于往来款项余额</t>
    </r>
  </si>
  <si>
    <r>
      <rPr>
        <sz val="10"/>
        <rFont val="宋体"/>
        <family val="3"/>
        <charset val="134"/>
      </rPr>
      <t>单位：元人民币</t>
    </r>
  </si>
  <si>
    <t>工程项目</t>
  </si>
  <si>
    <r>
      <rPr>
        <sz val="11"/>
        <rFont val="宋体"/>
        <family val="3"/>
        <charset val="134"/>
      </rPr>
      <t>项目</t>
    </r>
  </si>
  <si>
    <r>
      <rPr>
        <sz val="11"/>
        <rFont val="宋体"/>
        <family val="3"/>
        <charset val="134"/>
      </rPr>
      <t>合同金额</t>
    </r>
  </si>
  <si>
    <r>
      <rPr>
        <sz val="11"/>
        <rFont val="宋体"/>
        <family val="3"/>
        <charset val="134"/>
      </rPr>
      <t>累计进度</t>
    </r>
  </si>
  <si>
    <t>累计回款</t>
  </si>
  <si>
    <t>结算日期</t>
  </si>
  <si>
    <t>累计进度</t>
  </si>
  <si>
    <r>
      <rPr>
        <sz val="11"/>
        <rFont val="宋体"/>
        <family val="3"/>
        <charset val="134"/>
      </rPr>
      <t>合计</t>
    </r>
  </si>
  <si>
    <r>
      <rPr>
        <sz val="11"/>
        <rFont val="Times New Roman"/>
        <family val="1"/>
      </rPr>
      <t>2</t>
    </r>
    <r>
      <rPr>
        <sz val="11"/>
        <rFont val="宋体"/>
        <family val="3"/>
        <charset val="134"/>
      </rPr>
      <t>、未到期票据</t>
    </r>
  </si>
  <si>
    <r>
      <rPr>
        <sz val="11"/>
        <rFont val="Times New Roman"/>
        <family val="1"/>
      </rPr>
      <t>3</t>
    </r>
    <r>
      <rPr>
        <sz val="11"/>
        <rFont val="宋体"/>
        <family val="3"/>
        <charset val="134"/>
      </rPr>
      <t>、其他事项：请回答以下问题（在确定的选项框处打√）</t>
    </r>
  </si>
  <si>
    <r>
      <rPr>
        <sz val="11"/>
        <rFont val="宋体"/>
        <family val="3"/>
        <charset val="134"/>
      </rPr>
      <t>本公司与贵公司是否为关联方？</t>
    </r>
  </si>
  <si>
    <r>
      <rPr>
        <sz val="11"/>
        <rFont val="Times New Roman"/>
        <family val="1"/>
      </rPr>
      <t xml:space="preserve"> </t>
    </r>
    <r>
      <rPr>
        <sz val="11"/>
        <rFont val="宋体"/>
        <family val="3"/>
        <charset val="134"/>
      </rPr>
      <t>回答：□是</t>
    </r>
    <r>
      <rPr>
        <sz val="11"/>
        <rFont val="Times New Roman"/>
        <family val="1"/>
      </rPr>
      <t xml:space="preserve">      </t>
    </r>
    <r>
      <rPr>
        <sz val="11"/>
        <rFont val="宋体"/>
        <family val="3"/>
        <charset val="134"/>
      </rPr>
      <t>□否</t>
    </r>
  </si>
  <si>
    <r>
      <rPr>
        <sz val="11"/>
        <rFont val="Times New Roman"/>
        <family val="1"/>
      </rPr>
      <t>4</t>
    </r>
    <r>
      <rPr>
        <sz val="11"/>
        <rFont val="宋体"/>
        <family val="3"/>
        <charset val="134"/>
      </rPr>
      <t>、其他备注</t>
    </r>
  </si>
  <si>
    <t>5、本函仅为复核账目之用，并非催款结算。若款项在上述日期之后已经结清，仍请及时函复为盼。</t>
  </si>
  <si>
    <r>
      <rPr>
        <sz val="11"/>
        <rFont val="宋体"/>
        <family val="3"/>
        <charset val="134"/>
      </rPr>
      <t>（公司盖章）</t>
    </r>
  </si>
  <si>
    <r>
      <rPr>
        <sz val="11"/>
        <rFont val="Times New Roman"/>
        <family val="1"/>
      </rPr>
      <t>2019</t>
    </r>
    <r>
      <rPr>
        <sz val="11"/>
        <rFont val="宋体"/>
        <family val="3"/>
        <charset val="134"/>
      </rPr>
      <t>年</t>
    </r>
    <r>
      <rPr>
        <sz val="11"/>
        <rFont val="Times New Roman"/>
        <family val="1"/>
      </rPr>
      <t>X</t>
    </r>
    <r>
      <rPr>
        <sz val="11"/>
        <rFont val="宋体"/>
        <family val="3"/>
        <charset val="134"/>
      </rPr>
      <t>月</t>
    </r>
    <r>
      <rPr>
        <sz val="11"/>
        <rFont val="Times New Roman"/>
        <family val="1"/>
      </rPr>
      <t>X</t>
    </r>
    <r>
      <rPr>
        <sz val="11"/>
        <rFont val="宋体"/>
        <family val="3"/>
        <charset val="134"/>
      </rPr>
      <t>日</t>
    </r>
  </si>
  <si>
    <r>
      <rPr>
        <sz val="11"/>
        <rFont val="宋体"/>
        <family val="3"/>
        <charset val="134"/>
      </rPr>
      <t>经办人：</t>
    </r>
  </si>
  <si>
    <r>
      <rPr>
        <sz val="11"/>
        <rFont val="宋体"/>
        <family val="3"/>
        <charset val="134"/>
      </rPr>
      <t>信息证明无误</t>
    </r>
  </si>
  <si>
    <r>
      <rPr>
        <sz val="11"/>
        <rFont val="宋体"/>
        <family val="3"/>
        <charset val="134"/>
      </rPr>
      <t>信息不符及需加证明事项</t>
    </r>
    <r>
      <rPr>
        <sz val="11"/>
        <rFont val="Times New Roman"/>
        <family val="1"/>
      </rPr>
      <t>(</t>
    </r>
    <r>
      <rPr>
        <sz val="11"/>
        <rFont val="宋体"/>
        <family val="3"/>
        <charset val="134"/>
      </rPr>
      <t>详细附后</t>
    </r>
    <r>
      <rPr>
        <sz val="11"/>
        <rFont val="Times New Roman"/>
        <family val="1"/>
      </rPr>
      <t>)</t>
    </r>
  </si>
  <si>
    <r>
      <rPr>
        <sz val="11"/>
        <rFont val="宋体"/>
        <family val="3"/>
        <charset val="134"/>
      </rPr>
      <t>年</t>
    </r>
    <r>
      <rPr>
        <sz val="11"/>
        <rFont val="Times New Roman"/>
        <family val="1"/>
      </rPr>
      <t xml:space="preserve">    </t>
    </r>
    <r>
      <rPr>
        <sz val="11"/>
        <rFont val="宋体"/>
        <family val="3"/>
        <charset val="134"/>
      </rPr>
      <t>月</t>
    </r>
    <r>
      <rPr>
        <sz val="11"/>
        <rFont val="Times New Roman"/>
        <family val="1"/>
      </rPr>
      <t xml:space="preserve">    </t>
    </r>
    <r>
      <rPr>
        <sz val="11"/>
        <rFont val="宋体"/>
        <family val="3"/>
        <charset val="134"/>
      </rPr>
      <t>日</t>
    </r>
  </si>
  <si>
    <t>证券投资询证函</t>
  </si>
  <si>
    <t>100-4300-4-1p</t>
  </si>
  <si>
    <t xml:space="preserve">     本公司聘请的天健会计师事务所（特殊普通合伙）正在对本公司财务报表进行审计，按照中国注册会计师审计准则的要求，应当询证本公司与贵公司（单位）的往来账项等事项。下列信息出自本公司账簿记录，如与贵公司记录相符，请在本函下端“信息证明无误”处签章证明；如有不符，请在“信息不符”处列明不符项目，如存在与本公司有关的未列入本函的其他项目，也请在“信息不符”处列出这些项目的金额及详细资料。
    回函请直接寄至天健会计师事务所（特殊普通合伙），地址及联系方式如下：</t>
  </si>
  <si>
    <t xml:space="preserve">    回函地址：深圳市福田区益田路6001号太平金融大厦8F函证中心</t>
  </si>
  <si>
    <t>数据表列</t>
  </si>
  <si>
    <r>
      <rPr>
        <sz val="10"/>
        <rFont val="Arial"/>
        <family val="2"/>
      </rPr>
      <t xml:space="preserve">         </t>
    </r>
    <r>
      <rPr>
        <sz val="10"/>
        <rFont val="宋体"/>
        <family val="3"/>
        <charset val="134"/>
      </rPr>
      <t>收件人：</t>
    </r>
    <r>
      <rPr>
        <sz val="10"/>
        <rFont val="Arial"/>
        <family val="2"/>
      </rPr>
      <t>XXX</t>
    </r>
    <r>
      <rPr>
        <sz val="10"/>
        <rFont val="宋体"/>
        <family val="3"/>
        <charset val="134"/>
      </rPr>
      <t>项目组</t>
    </r>
    <r>
      <rPr>
        <sz val="10"/>
        <rFont val="Arial"/>
        <family val="2"/>
      </rPr>
      <t xml:space="preserve">                     </t>
    </r>
    <r>
      <rPr>
        <sz val="10"/>
        <rFont val="宋体"/>
        <family val="3"/>
        <charset val="134"/>
      </rPr>
      <t>电话：</t>
    </r>
    <r>
      <rPr>
        <sz val="10"/>
        <rFont val="Arial"/>
        <family val="2"/>
      </rPr>
      <t xml:space="preserve">12345678901                </t>
    </r>
  </si>
  <si>
    <t>证券投资</t>
  </si>
  <si>
    <t>名称</t>
  </si>
  <si>
    <t>持有份额</t>
  </si>
  <si>
    <t>成本</t>
  </si>
  <si>
    <t>期末账面价值</t>
  </si>
  <si>
    <t>期末份额净值</t>
  </si>
  <si>
    <t>是否质押</t>
  </si>
  <si>
    <r>
      <rPr>
        <sz val="10"/>
        <rFont val="Arial"/>
        <family val="2"/>
      </rPr>
      <t>1</t>
    </r>
    <r>
      <rPr>
        <sz val="10"/>
        <rFont val="宋体"/>
        <family val="3"/>
        <charset val="134"/>
      </rPr>
      <t>、截至</t>
    </r>
    <r>
      <rPr>
        <sz val="10"/>
        <rFont val="Arial"/>
        <family val="2"/>
      </rPr>
      <t xml:space="preserve">20 18   </t>
    </r>
    <r>
      <rPr>
        <sz val="10"/>
        <rFont val="宋体"/>
        <family val="3"/>
        <charset val="134"/>
      </rPr>
      <t>年</t>
    </r>
    <r>
      <rPr>
        <sz val="10"/>
        <rFont val="Arial"/>
        <family val="2"/>
      </rPr>
      <t xml:space="preserve">  12 </t>
    </r>
    <r>
      <rPr>
        <sz val="10"/>
        <rFont val="宋体"/>
        <family val="3"/>
        <charset val="134"/>
      </rPr>
      <t>月</t>
    </r>
    <r>
      <rPr>
        <sz val="10"/>
        <rFont val="Arial"/>
        <family val="2"/>
      </rPr>
      <t xml:space="preserve">   31</t>
    </r>
    <r>
      <rPr>
        <sz val="10"/>
        <rFont val="宋体"/>
        <family val="3"/>
        <charset val="134"/>
      </rPr>
      <t>日止，本公司的证券投资账项列示如下：</t>
    </r>
  </si>
  <si>
    <t>金额单位：人民币元</t>
  </si>
  <si>
    <r>
      <rPr>
        <sz val="10"/>
        <rFont val="Arial"/>
        <family val="2"/>
      </rPr>
      <t>2</t>
    </r>
    <r>
      <rPr>
        <sz val="10"/>
        <rFont val="宋体"/>
        <family val="3"/>
        <charset val="134"/>
      </rPr>
      <t>、其他事项</t>
    </r>
  </si>
  <si>
    <r>
      <rPr>
        <sz val="10"/>
        <rFont val="Arial"/>
        <family val="2"/>
      </rPr>
      <t xml:space="preserve">     </t>
    </r>
    <r>
      <rPr>
        <sz val="10"/>
        <rFont val="宋体"/>
        <family val="3"/>
        <charset val="134"/>
      </rPr>
      <t>本函仅为复核账目之用，并非催款结算。若款项在上述日期之后已经付清，仍请及时函复为盼。</t>
    </r>
  </si>
  <si>
    <r>
      <rPr>
        <b/>
        <sz val="10"/>
        <rFont val="宋体"/>
        <family val="3"/>
        <charset val="134"/>
      </rPr>
      <t>结论：</t>
    </r>
    <r>
      <rPr>
        <b/>
        <sz val="10"/>
        <rFont val="Arial"/>
        <family val="2"/>
      </rPr>
      <t xml:space="preserve"> </t>
    </r>
  </si>
  <si>
    <r>
      <rPr>
        <b/>
        <sz val="10"/>
        <rFont val="Arial"/>
        <family val="2"/>
      </rPr>
      <t>1.</t>
    </r>
    <r>
      <rPr>
        <b/>
        <sz val="10"/>
        <rFont val="宋体"/>
        <family val="3"/>
        <charset val="134"/>
      </rPr>
      <t>信息证明无误</t>
    </r>
  </si>
  <si>
    <r>
      <rPr>
        <b/>
        <sz val="10"/>
        <rFont val="Arial"/>
        <family val="2"/>
      </rPr>
      <t>2.</t>
    </r>
    <r>
      <rPr>
        <b/>
        <sz val="10"/>
        <rFont val="宋体"/>
        <family val="3"/>
        <charset val="134"/>
      </rPr>
      <t>信息不符，请列明不符项目及具体内容：</t>
    </r>
  </si>
  <si>
    <t>签章：</t>
  </si>
  <si>
    <r>
      <rPr>
        <b/>
        <sz val="10"/>
        <rFont val="宋体"/>
        <family val="3"/>
        <charset val="134"/>
      </rPr>
      <t>日期</t>
    </r>
    <r>
      <rPr>
        <b/>
        <sz val="10"/>
        <rFont val="Arial"/>
        <family val="2"/>
      </rPr>
      <t xml:space="preserve">       2019</t>
    </r>
    <r>
      <rPr>
        <b/>
        <sz val="10"/>
        <rFont val="宋体"/>
        <family val="3"/>
        <charset val="134"/>
      </rPr>
      <t>年</t>
    </r>
    <r>
      <rPr>
        <b/>
        <sz val="10"/>
        <rFont val="Arial"/>
        <family val="2"/>
      </rPr>
      <t xml:space="preserve">   </t>
    </r>
    <r>
      <rPr>
        <b/>
        <sz val="10"/>
        <rFont val="宋体"/>
        <family val="3"/>
        <charset val="134"/>
      </rPr>
      <t>月</t>
    </r>
    <r>
      <rPr>
        <b/>
        <sz val="10"/>
        <rFont val="Arial"/>
        <family val="2"/>
      </rPr>
      <t xml:space="preserve"> </t>
    </r>
    <r>
      <rPr>
        <b/>
        <sz val="10"/>
        <rFont val="宋体"/>
        <family val="3"/>
        <charset val="134"/>
      </rPr>
      <t>　</t>
    </r>
    <r>
      <rPr>
        <b/>
        <sz val="10"/>
        <rFont val="Arial"/>
        <family val="2"/>
      </rPr>
      <t xml:space="preserve">  </t>
    </r>
    <r>
      <rPr>
        <b/>
        <sz val="10"/>
        <rFont val="宋体"/>
        <family val="3"/>
        <charset val="134"/>
      </rPr>
      <t>日</t>
    </r>
  </si>
  <si>
    <t>日期       2019年   月 　  日</t>
  </si>
  <si>
    <t>100-112500-01p</t>
  </si>
  <si>
    <r>
      <rPr>
        <sz val="11"/>
        <rFont val="Times New Roman"/>
        <family val="1"/>
      </rPr>
      <t xml:space="preserve">         </t>
    </r>
    <r>
      <rPr>
        <sz val="11"/>
        <rFont val="宋体"/>
        <family val="3"/>
        <charset val="134"/>
      </rPr>
      <t>本公司聘请的天健会计师事务所（特殊普通合伙）正在对本公司</t>
    </r>
    <r>
      <rPr>
        <sz val="11"/>
        <rFont val="Times New Roman"/>
        <family val="1"/>
      </rPr>
      <t>2017-2019</t>
    </r>
    <r>
      <rPr>
        <sz val="11"/>
        <rFont val="宋体"/>
        <family val="3"/>
        <charset val="134"/>
      </rPr>
      <t>财务报表进行审计，按照中国注册会计师审计准则的要求，应当询证本公司与贵公司的往来账项等事项。下列信息出自本公司的记录：</t>
    </r>
    <r>
      <rPr>
        <sz val="11"/>
        <rFont val="Times New Roman"/>
        <family val="1"/>
      </rPr>
      <t xml:space="preserve">(1) </t>
    </r>
    <r>
      <rPr>
        <sz val="11"/>
        <rFont val="宋体"/>
        <family val="3"/>
        <charset val="134"/>
      </rPr>
      <t>如与贵公司记录相符，请在本函</t>
    </r>
    <r>
      <rPr>
        <sz val="11"/>
        <rFont val="Times New Roman"/>
        <family val="1"/>
      </rPr>
      <t>“</t>
    </r>
    <r>
      <rPr>
        <sz val="11"/>
        <rFont val="宋体"/>
        <family val="3"/>
        <charset val="134"/>
      </rPr>
      <t>结论</t>
    </r>
    <r>
      <rPr>
        <sz val="11"/>
        <rFont val="Times New Roman"/>
        <family val="1"/>
      </rPr>
      <t>”</t>
    </r>
    <r>
      <rPr>
        <sz val="11"/>
        <rFont val="宋体"/>
        <family val="3"/>
        <charset val="134"/>
      </rPr>
      <t>部分签字和签章；</t>
    </r>
    <r>
      <rPr>
        <sz val="11"/>
        <rFont val="Times New Roman"/>
        <family val="1"/>
      </rPr>
      <t xml:space="preserve">(2) </t>
    </r>
    <r>
      <rPr>
        <sz val="11"/>
        <rFont val="宋体"/>
        <family val="3"/>
        <charset val="134"/>
      </rPr>
      <t>如有不符，请在本函</t>
    </r>
    <r>
      <rPr>
        <sz val="11"/>
        <rFont val="Times New Roman"/>
        <family val="1"/>
      </rPr>
      <t>“</t>
    </r>
    <r>
      <rPr>
        <sz val="11"/>
        <rFont val="宋体"/>
        <family val="3"/>
        <charset val="134"/>
      </rPr>
      <t>结论</t>
    </r>
    <r>
      <rPr>
        <sz val="11"/>
        <rFont val="Times New Roman"/>
        <family val="1"/>
      </rPr>
      <t>”</t>
    </r>
    <r>
      <rPr>
        <sz val="11"/>
        <rFont val="宋体"/>
        <family val="3"/>
        <charset val="134"/>
      </rPr>
      <t>部分列明不符项目及具体内容，并签字和签章。回函请直接寄至天健会计师事务所。地址及联系方式如下：</t>
    </r>
  </si>
  <si>
    <t>单位：</t>
  </si>
  <si>
    <r>
      <rPr>
        <sz val="11"/>
        <rFont val="宋体"/>
        <family val="3"/>
        <charset val="134"/>
      </rPr>
      <t>地址：</t>
    </r>
    <r>
      <rPr>
        <sz val="11"/>
        <rFont val="Times New Roman"/>
        <family val="1"/>
      </rPr>
      <t xml:space="preserve">         </t>
    </r>
  </si>
  <si>
    <t>函证收件人：林铖</t>
  </si>
  <si>
    <t>联系电话：</t>
  </si>
  <si>
    <r>
      <rPr>
        <sz val="11"/>
        <rFont val="宋体"/>
        <family val="3"/>
        <charset val="134"/>
      </rPr>
      <t>联系电话：</t>
    </r>
    <r>
      <rPr>
        <sz val="11"/>
        <rFont val="Times New Roman"/>
        <family val="1"/>
      </rPr>
      <t>133-1651-7160</t>
    </r>
  </si>
  <si>
    <r>
      <rPr>
        <sz val="11"/>
        <rFont val="Times New Roman"/>
        <family val="1"/>
      </rPr>
      <t>1</t>
    </r>
    <r>
      <rPr>
        <sz val="11"/>
        <rFont val="宋体"/>
        <family val="3"/>
        <charset val="134"/>
      </rPr>
      <t>、截止</t>
    </r>
    <r>
      <rPr>
        <sz val="11"/>
        <rFont val="Times New Roman"/>
        <family val="1"/>
      </rPr>
      <t>2019</t>
    </r>
    <r>
      <rPr>
        <sz val="11"/>
        <rFont val="宋体"/>
        <family val="3"/>
        <charset val="134"/>
      </rPr>
      <t>年</t>
    </r>
    <r>
      <rPr>
        <sz val="11"/>
        <rFont val="Times New Roman"/>
        <family val="1"/>
      </rPr>
      <t>12</t>
    </r>
    <r>
      <rPr>
        <sz val="11"/>
        <rFont val="宋体"/>
        <family val="3"/>
        <charset val="134"/>
      </rPr>
      <t>月</t>
    </r>
    <r>
      <rPr>
        <sz val="11"/>
        <rFont val="Times New Roman"/>
        <family val="1"/>
      </rPr>
      <t>31</t>
    </r>
    <r>
      <rPr>
        <sz val="11"/>
        <rFont val="宋体"/>
        <family val="3"/>
        <charset val="134"/>
      </rPr>
      <t>日，工程项目与往来款项余额</t>
    </r>
  </si>
  <si>
    <t>单位：元人民币</t>
  </si>
  <si>
    <t>工程2019</t>
  </si>
  <si>
    <r>
      <rPr>
        <sz val="11"/>
        <rFont val="宋体"/>
        <family val="3"/>
        <charset val="134"/>
      </rPr>
      <t>累计收款</t>
    </r>
  </si>
  <si>
    <r>
      <rPr>
        <sz val="11"/>
        <rFont val="宋体"/>
        <family val="3"/>
        <charset val="134"/>
      </rPr>
      <t>是否结算（结算日期）</t>
    </r>
  </si>
  <si>
    <t>工程2018</t>
  </si>
  <si>
    <t>工程2017</t>
  </si>
  <si>
    <t>其他备注</t>
  </si>
  <si>
    <t>注：上述累计收款系累计至截止日期收到工程款。</t>
  </si>
  <si>
    <r>
      <rPr>
        <sz val="11"/>
        <rFont val="Times New Roman"/>
        <family val="1"/>
      </rPr>
      <t>2</t>
    </r>
    <r>
      <rPr>
        <sz val="11"/>
        <rFont val="宋体"/>
        <family val="3"/>
        <charset val="134"/>
      </rPr>
      <t>、截止</t>
    </r>
    <r>
      <rPr>
        <sz val="11"/>
        <rFont val="Times New Roman"/>
        <family val="1"/>
      </rPr>
      <t>2018</t>
    </r>
    <r>
      <rPr>
        <sz val="11"/>
        <rFont val="宋体"/>
        <family val="3"/>
        <charset val="134"/>
      </rPr>
      <t>年</t>
    </r>
    <r>
      <rPr>
        <sz val="11"/>
        <rFont val="Times New Roman"/>
        <family val="1"/>
      </rPr>
      <t>12</t>
    </r>
    <r>
      <rPr>
        <sz val="11"/>
        <rFont val="宋体"/>
        <family val="3"/>
        <charset val="134"/>
      </rPr>
      <t>月</t>
    </r>
    <r>
      <rPr>
        <sz val="11"/>
        <rFont val="Times New Roman"/>
        <family val="1"/>
      </rPr>
      <t>31</t>
    </r>
    <r>
      <rPr>
        <sz val="11"/>
        <rFont val="宋体"/>
        <family val="3"/>
        <charset val="134"/>
      </rPr>
      <t>日，工程项目与往来款项余额</t>
    </r>
  </si>
  <si>
    <r>
      <rPr>
        <sz val="11"/>
        <rFont val="Times New Roman"/>
        <family val="1"/>
      </rPr>
      <t>3</t>
    </r>
    <r>
      <rPr>
        <sz val="11"/>
        <rFont val="宋体"/>
        <family val="3"/>
        <charset val="134"/>
      </rPr>
      <t>、截止</t>
    </r>
    <r>
      <rPr>
        <sz val="11"/>
        <rFont val="Times New Roman"/>
        <family val="1"/>
      </rPr>
      <t>2017</t>
    </r>
    <r>
      <rPr>
        <sz val="11"/>
        <rFont val="宋体"/>
        <family val="3"/>
        <charset val="134"/>
      </rPr>
      <t>年</t>
    </r>
    <r>
      <rPr>
        <sz val="11"/>
        <rFont val="Times New Roman"/>
        <family val="1"/>
      </rPr>
      <t>12</t>
    </r>
    <r>
      <rPr>
        <sz val="11"/>
        <rFont val="宋体"/>
        <family val="3"/>
        <charset val="134"/>
      </rPr>
      <t>月</t>
    </r>
    <r>
      <rPr>
        <sz val="11"/>
        <rFont val="Times New Roman"/>
        <family val="1"/>
      </rPr>
      <t>31</t>
    </r>
    <r>
      <rPr>
        <sz val="11"/>
        <rFont val="宋体"/>
        <family val="3"/>
        <charset val="134"/>
      </rPr>
      <t>日，工程项目与往来款项余额</t>
    </r>
  </si>
  <si>
    <r>
      <rPr>
        <sz val="11"/>
        <rFont val="Times New Roman"/>
        <family val="1"/>
      </rPr>
      <t>4</t>
    </r>
    <r>
      <rPr>
        <sz val="11"/>
        <rFont val="宋体"/>
        <family val="3"/>
        <charset val="134"/>
      </rPr>
      <t>、其他事项：请回答以下问题（在确定的选项框处打√）</t>
    </r>
  </si>
  <si>
    <t>本公司与贵公司是否为关联方？</t>
  </si>
  <si>
    <r>
      <rPr>
        <sz val="11"/>
        <rFont val="Times New Roman"/>
        <family val="1"/>
      </rPr>
      <t>5</t>
    </r>
    <r>
      <rPr>
        <sz val="11"/>
        <rFont val="宋体"/>
        <family val="3"/>
        <charset val="134"/>
      </rPr>
      <t>、其他备注</t>
    </r>
  </si>
  <si>
    <t>4、本函仅为复核账目之用，并非催款结算。若款项在上述日期之后已经结清，仍请及时函复为盼。</t>
  </si>
  <si>
    <t>（公司盖章）</t>
  </si>
  <si>
    <t>信息证明无误</t>
  </si>
  <si>
    <t>P</t>
  </si>
  <si>
    <t>被审计单位：</t>
  </si>
  <si>
    <r>
      <rPr>
        <b/>
        <sz val="10"/>
        <rFont val="宋体"/>
        <family val="3"/>
        <charset val="134"/>
      </rPr>
      <t>索引号：</t>
    </r>
    <r>
      <rPr>
        <b/>
        <sz val="10"/>
        <rFont val="Arial Narrow"/>
        <family val="2"/>
      </rPr>
      <t xml:space="preserve"> </t>
    </r>
  </si>
  <si>
    <r>
      <rPr>
        <b/>
        <sz val="10"/>
        <rFont val="宋体"/>
        <family val="3"/>
        <charset val="134"/>
      </rPr>
      <t>页次：</t>
    </r>
  </si>
  <si>
    <t>项目：</t>
  </si>
  <si>
    <r>
      <rPr>
        <b/>
        <sz val="10"/>
        <rFont val="宋体"/>
        <family val="3"/>
        <charset val="134"/>
      </rPr>
      <t>编制人：</t>
    </r>
    <r>
      <rPr>
        <b/>
        <sz val="10"/>
        <rFont val="Arial Narrow"/>
        <family val="2"/>
      </rPr>
      <t xml:space="preserve"> </t>
    </r>
  </si>
  <si>
    <r>
      <rPr>
        <b/>
        <sz val="10"/>
        <rFont val="宋体"/>
        <family val="3"/>
        <charset val="134"/>
      </rPr>
      <t>日期：</t>
    </r>
  </si>
  <si>
    <t>M</t>
  </si>
  <si>
    <r>
      <rPr>
        <b/>
        <sz val="10"/>
        <rFont val="宋体"/>
        <family val="3"/>
        <charset val="134"/>
      </rPr>
      <t>财务报表截止日</t>
    </r>
    <r>
      <rPr>
        <b/>
        <sz val="10"/>
        <rFont val="Arial Narrow"/>
        <family val="2"/>
      </rPr>
      <t>/</t>
    </r>
    <r>
      <rPr>
        <b/>
        <sz val="10"/>
        <rFont val="宋体"/>
        <family val="3"/>
        <charset val="134"/>
      </rPr>
      <t>期间：</t>
    </r>
  </si>
  <si>
    <r>
      <rPr>
        <b/>
        <sz val="10"/>
        <rFont val="宋体"/>
        <family val="3"/>
        <charset val="134"/>
      </rPr>
      <t>复核人：</t>
    </r>
    <r>
      <rPr>
        <b/>
        <sz val="10"/>
        <rFont val="Arial Narrow"/>
        <family val="2"/>
      </rPr>
      <t xml:space="preserve"> </t>
    </r>
  </si>
  <si>
    <t>G2</t>
  </si>
  <si>
    <t>年度</t>
  </si>
  <si>
    <t>科目</t>
  </si>
  <si>
    <r>
      <rPr>
        <sz val="11"/>
        <color theme="1"/>
        <rFont val="宋体"/>
        <family val="3"/>
        <charset val="134"/>
      </rPr>
      <t>公司名称</t>
    </r>
  </si>
  <si>
    <t>期初</t>
  </si>
  <si>
    <t>借方</t>
  </si>
  <si>
    <t>贷方</t>
  </si>
  <si>
    <t>期末</t>
  </si>
  <si>
    <t>其中：暂估金额</t>
  </si>
  <si>
    <r>
      <rPr>
        <sz val="11"/>
        <color theme="1"/>
        <rFont val="宋体"/>
        <family val="3"/>
        <charset val="134"/>
      </rPr>
      <t>入账金额</t>
    </r>
  </si>
  <si>
    <r>
      <rPr>
        <sz val="11"/>
        <color theme="1"/>
        <rFont val="宋体"/>
        <family val="3"/>
        <charset val="134"/>
      </rPr>
      <t>检查点</t>
    </r>
  </si>
  <si>
    <r>
      <rPr>
        <sz val="11"/>
        <color theme="1"/>
        <rFont val="宋体"/>
        <family val="3"/>
        <charset val="134"/>
      </rPr>
      <t>记账时间</t>
    </r>
  </si>
  <si>
    <r>
      <rPr>
        <sz val="11"/>
        <color theme="1"/>
        <rFont val="宋体"/>
        <family val="3"/>
        <charset val="134"/>
      </rPr>
      <t>凭证种类</t>
    </r>
  </si>
  <si>
    <r>
      <rPr>
        <sz val="11"/>
        <color theme="1"/>
        <rFont val="宋体"/>
        <family val="3"/>
        <charset val="134"/>
      </rPr>
      <t>凭证编号</t>
    </r>
  </si>
  <si>
    <r>
      <rPr>
        <sz val="11"/>
        <color theme="1"/>
        <rFont val="宋体"/>
        <family val="3"/>
        <charset val="134"/>
      </rPr>
      <t>业务说明</t>
    </r>
  </si>
  <si>
    <r>
      <rPr>
        <sz val="11"/>
        <color theme="1"/>
        <rFont val="宋体"/>
        <family val="3"/>
        <charset val="134"/>
      </rPr>
      <t>科目名称</t>
    </r>
  </si>
  <si>
    <r>
      <rPr>
        <sz val="11"/>
        <color theme="1"/>
        <rFont val="宋体"/>
        <family val="3"/>
        <charset val="134"/>
      </rPr>
      <t>借方发生额</t>
    </r>
  </si>
  <si>
    <r>
      <rPr>
        <sz val="11"/>
        <color theme="1"/>
        <rFont val="宋体"/>
        <family val="3"/>
        <charset val="134"/>
      </rPr>
      <t>贷方发生额</t>
    </r>
  </si>
  <si>
    <r>
      <rPr>
        <sz val="11"/>
        <color theme="1"/>
        <rFont val="宋体"/>
        <family val="3"/>
        <charset val="134"/>
      </rPr>
      <t>对方科目名称</t>
    </r>
  </si>
  <si>
    <t>往来数据</t>
  </si>
  <si>
    <t>替代索引号</t>
  </si>
  <si>
    <t>抽凭检查</t>
  </si>
  <si>
    <r>
      <rPr>
        <sz val="10"/>
        <rFont val="宋体"/>
        <family val="3"/>
        <charset val="134"/>
      </rPr>
      <t>检查内容说明：</t>
    </r>
    <r>
      <rPr>
        <sz val="10"/>
        <rFont val="Arial Narrow"/>
        <family val="2"/>
      </rPr>
      <t>1</t>
    </r>
    <r>
      <rPr>
        <sz val="10"/>
        <rFont val="宋体"/>
        <family val="3"/>
        <charset val="134"/>
      </rPr>
      <t>、与采购业务所对应的原始订单或合同是否相符。</t>
    </r>
    <r>
      <rPr>
        <sz val="10"/>
        <rFont val="Arial Narrow"/>
        <family val="2"/>
      </rPr>
      <t>2</t>
    </r>
    <r>
      <rPr>
        <sz val="10"/>
        <rFont val="宋体"/>
        <family val="3"/>
        <charset val="134"/>
      </rPr>
      <t>、检查收货记录，确定已收到发票的货物在函证日前是否已收到。</t>
    </r>
    <r>
      <rPr>
        <sz val="10"/>
        <rFont val="Arial Narrow"/>
        <family val="2"/>
      </rPr>
      <t>3</t>
    </r>
    <r>
      <rPr>
        <sz val="10"/>
        <rFont val="宋体"/>
        <family val="3"/>
        <charset val="134"/>
      </rPr>
      <t>、</t>
    </r>
    <r>
      <rPr>
        <sz val="10"/>
        <rFont val="Arial Narrow"/>
        <family val="2"/>
      </rPr>
      <t>……</t>
    </r>
  </si>
  <si>
    <t>期后检查</t>
  </si>
  <si>
    <r>
      <rPr>
        <b/>
        <sz val="10"/>
        <rFont val="Arial Narrow"/>
        <family val="2"/>
      </rPr>
      <t>2</t>
    </r>
    <r>
      <rPr>
        <b/>
        <sz val="10"/>
        <rFont val="宋体"/>
        <family val="3"/>
        <charset val="134"/>
      </rPr>
      <t>、复核期后付款情况</t>
    </r>
  </si>
  <si>
    <r>
      <rPr>
        <sz val="11"/>
        <color theme="1"/>
        <rFont val="宋体"/>
        <family val="3"/>
        <charset val="134"/>
      </rPr>
      <t>日期</t>
    </r>
  </si>
  <si>
    <r>
      <rPr>
        <sz val="11"/>
        <color theme="1"/>
        <rFont val="宋体"/>
        <family val="3"/>
        <charset val="134"/>
      </rPr>
      <t>凭证号</t>
    </r>
  </si>
  <si>
    <r>
      <rPr>
        <sz val="11"/>
        <color theme="1"/>
        <rFont val="宋体"/>
        <family val="3"/>
        <charset val="134"/>
      </rPr>
      <t>摘要</t>
    </r>
  </si>
  <si>
    <r>
      <rPr>
        <sz val="10"/>
        <rFont val="宋体"/>
        <family val="3"/>
        <charset val="134"/>
      </rPr>
      <t>检查内容说明：</t>
    </r>
    <r>
      <rPr>
        <sz val="10"/>
        <rFont val="Arial Narrow"/>
        <family val="2"/>
      </rPr>
      <t>1</t>
    </r>
    <r>
      <rPr>
        <sz val="10"/>
        <rFont val="宋体"/>
        <family val="3"/>
        <charset val="134"/>
      </rPr>
      <t>、是否有银行付款单据作为证明。</t>
    </r>
    <r>
      <rPr>
        <sz val="10"/>
        <rFont val="Arial Narrow"/>
        <family val="2"/>
      </rPr>
      <t>2</t>
    </r>
    <r>
      <rPr>
        <sz val="10"/>
        <rFont val="宋体"/>
        <family val="3"/>
        <charset val="134"/>
      </rPr>
      <t>、期后付款是否与函证日前的采购业务相关。</t>
    </r>
    <r>
      <rPr>
        <sz val="10"/>
        <rFont val="Arial Narrow"/>
        <family val="2"/>
      </rPr>
      <t>3</t>
    </r>
    <r>
      <rPr>
        <sz val="10"/>
        <rFont val="宋体"/>
        <family val="3"/>
        <charset val="134"/>
      </rPr>
      <t>、收款人是否为相关的供应商。</t>
    </r>
    <r>
      <rPr>
        <sz val="10"/>
        <rFont val="Arial Narrow"/>
        <family val="2"/>
      </rPr>
      <t>4</t>
    </r>
    <r>
      <rPr>
        <sz val="10"/>
        <rFont val="宋体"/>
        <family val="3"/>
        <charset val="134"/>
      </rPr>
      <t>、</t>
    </r>
    <r>
      <rPr>
        <sz val="10"/>
        <rFont val="Arial Narrow"/>
        <family val="2"/>
      </rPr>
      <t>……</t>
    </r>
  </si>
  <si>
    <r>
      <rPr>
        <b/>
        <sz val="10"/>
        <rFont val="宋体"/>
        <family val="3"/>
        <charset val="134"/>
      </rPr>
      <t>审计说明：</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</si>
</sst>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_([$€-2]* #,##0.00_);_([$€-2]* \(#,##0.00\);_([$€-2]* &quot;-&quot;??_)"/>
    <numFmt numFmtId="177" formatCode="#,##0.00_ "/>
    <numFmt numFmtId="178" formatCode="0.00_ "/>
    <numFmt numFmtId="179" formatCode="yyyy&quot;年&quot;m&quot;月&quot;d&quot;日&quot;;@"/>
    <numFmt numFmtId="180" formatCode="[$-F800]dddd\,\ mmmm\ dd\,\ yyyy"/>
    <numFmt numFmtId="181" formatCode="0.0000_ "/>
    <numFmt numFmtId="182" formatCode="\¥#,##0.00;\¥\-#,##0.00"/>
    <numFmt numFmtId="183" formatCode="0_);[Red]\(0\)"/>
    <numFmt numFmtId="184" formatCode="\¥#,##0.00;[Red]\¥\-#,##0.00"/>
  </numFmts>
  <fonts count="99">
    <font>
      <sz val="11"/>
      <color theme="1"/>
      <name val="等线"/>
      <charset val="134"/>
      <scheme val="minor"/>
    </font>
    <font>
      <sz val="11"/>
      <color theme="1"/>
      <name val="Arial Narrow"/>
      <family val="2"/>
    </font>
    <font>
      <b/>
      <sz val="12"/>
      <name val="Arial Narrow"/>
      <family val="2"/>
    </font>
    <font>
      <b/>
      <sz val="10"/>
      <name val="宋体"/>
      <family val="3"/>
      <charset val="134"/>
    </font>
    <font>
      <b/>
      <sz val="10"/>
      <name val="Arial Narrow"/>
      <family val="2"/>
    </font>
    <font>
      <b/>
      <sz val="10"/>
      <name val="Arial Narrow"/>
      <family val="2"/>
    </font>
    <font>
      <sz val="10"/>
      <name val="Arial Narrow"/>
      <family val="2"/>
    </font>
    <font>
      <sz val="11"/>
      <color theme="1"/>
      <name val="宋体"/>
      <family val="3"/>
      <charset val="134"/>
    </font>
    <font>
      <sz val="11"/>
      <color theme="1"/>
      <name val="宋体"/>
      <family val="3"/>
      <charset val="134"/>
    </font>
    <font>
      <sz val="10"/>
      <color theme="1"/>
      <name val="等线"/>
      <family val="3"/>
      <charset val="134"/>
      <scheme val="minor"/>
    </font>
    <font>
      <sz val="11"/>
      <color theme="1"/>
      <name val="等线"/>
      <family val="3"/>
      <charset val="134"/>
      <scheme val="minor"/>
    </font>
    <font>
      <sz val="10"/>
      <name val="宋体"/>
      <family val="3"/>
      <charset val="134"/>
    </font>
    <font>
      <sz val="11"/>
      <color theme="1"/>
      <name val="等线"/>
      <family val="3"/>
      <charset val="134"/>
    </font>
    <font>
      <sz val="10"/>
      <name val="Times New Roman"/>
      <family val="1"/>
    </font>
    <font>
      <sz val="11"/>
      <name val="Times New Roman"/>
      <family val="1"/>
    </font>
    <font>
      <sz val="12"/>
      <name val="等线"/>
      <family val="3"/>
      <charset val="134"/>
      <scheme val="minor"/>
    </font>
    <font>
      <sz val="12"/>
      <name val="Times New Roman"/>
      <family val="1"/>
    </font>
    <font>
      <b/>
      <sz val="16"/>
      <name val="Times New Roman"/>
      <family val="1"/>
    </font>
    <font>
      <sz val="30"/>
      <name val="C39HrP36DlTt"/>
    </font>
    <font>
      <u/>
      <sz val="11"/>
      <color theme="10"/>
      <name val="等线"/>
      <family val="3"/>
      <charset val="134"/>
      <scheme val="minor"/>
    </font>
    <font>
      <sz val="11"/>
      <name val="宋体"/>
      <family val="3"/>
      <charset val="134"/>
    </font>
    <font>
      <sz val="12"/>
      <color theme="1"/>
      <name val="Times New Roman"/>
      <family val="1"/>
    </font>
    <font>
      <sz val="11"/>
      <name val="等线"/>
      <family val="3"/>
      <charset val="134"/>
      <scheme val="minor"/>
    </font>
    <font>
      <sz val="11"/>
      <color theme="1"/>
      <name val="Times New Roman"/>
      <family val="1"/>
    </font>
    <font>
      <sz val="10"/>
      <color theme="1"/>
      <name val="Arial Narrow"/>
      <family val="2"/>
    </font>
    <font>
      <sz val="12"/>
      <name val="宋体"/>
      <family val="3"/>
      <charset val="134"/>
    </font>
    <font>
      <sz val="10"/>
      <name val="Arial"/>
      <family val="2"/>
    </font>
    <font>
      <b/>
      <sz val="14"/>
      <name val="Arial"/>
      <family val="2"/>
    </font>
    <font>
      <sz val="28"/>
      <name val="C39HrP36DlTt"/>
    </font>
    <font>
      <b/>
      <sz val="14"/>
      <name val="宋体"/>
      <family val="3"/>
      <charset val="134"/>
    </font>
    <font>
      <u/>
      <sz val="10"/>
      <name val="Arial"/>
      <family val="2"/>
    </font>
    <font>
      <b/>
      <sz val="10"/>
      <name val="Arial"/>
      <family val="2"/>
    </font>
    <font>
      <b/>
      <u/>
      <sz val="10"/>
      <name val="Arial"/>
      <family val="2"/>
    </font>
    <font>
      <sz val="10"/>
      <color theme="1"/>
      <name val="宋体"/>
      <family val="3"/>
      <charset val="134"/>
    </font>
    <font>
      <sz val="10"/>
      <color theme="1"/>
      <name val="Times New Roman"/>
      <family val="1"/>
    </font>
    <font>
      <sz val="10"/>
      <name val="宋体"/>
      <family val="3"/>
      <charset val="134"/>
    </font>
    <font>
      <sz val="12"/>
      <name val="Arial"/>
      <family val="2"/>
    </font>
    <font>
      <sz val="10"/>
      <name val="宋体"/>
      <family val="3"/>
      <charset val="134"/>
    </font>
    <font>
      <sz val="10"/>
      <name val="Times New Roman"/>
      <family val="1"/>
    </font>
    <font>
      <b/>
      <sz val="11"/>
      <name val="Times New Roman"/>
      <family val="1"/>
    </font>
    <font>
      <sz val="11"/>
      <name val="宋体"/>
      <family val="3"/>
      <charset val="134"/>
    </font>
    <font>
      <sz val="12"/>
      <color indexed="22"/>
      <name val="Times New Roman"/>
      <family val="1"/>
    </font>
    <font>
      <sz val="10.5"/>
      <name val="Times New Roman"/>
      <family val="1"/>
    </font>
    <font>
      <sz val="9"/>
      <name val="Arial Narrow"/>
      <family val="2"/>
    </font>
    <font>
      <b/>
      <sz val="15"/>
      <name val="Times New Roman"/>
      <family val="1"/>
    </font>
    <font>
      <b/>
      <sz val="9"/>
      <name val="Times New Roman"/>
      <family val="1"/>
    </font>
    <font>
      <b/>
      <sz val="10.5"/>
      <name val="宋体"/>
      <family val="3"/>
      <charset val="134"/>
    </font>
    <font>
      <b/>
      <sz val="10.5"/>
      <name val="Times New Roman"/>
      <family val="1"/>
    </font>
    <font>
      <b/>
      <sz val="12"/>
      <name val="Times New Roman"/>
      <family val="1"/>
    </font>
    <font>
      <sz val="9"/>
      <name val="Times New Roman"/>
      <family val="1"/>
    </font>
    <font>
      <sz val="11"/>
      <color indexed="8"/>
      <name val="Times New Roman"/>
      <family val="1"/>
    </font>
    <font>
      <sz val="12"/>
      <name val="Arial Narrow"/>
      <family val="2"/>
    </font>
    <font>
      <b/>
      <sz val="16"/>
      <name val="Arial Narrow"/>
      <family val="2"/>
    </font>
    <font>
      <sz val="36"/>
      <name val="C39HrP36DlTt"/>
    </font>
    <font>
      <sz val="12"/>
      <color indexed="8"/>
      <name val="Arial Narrow"/>
      <family val="2"/>
    </font>
    <font>
      <sz val="12"/>
      <name val="宋体"/>
      <family val="3"/>
      <charset val="134"/>
    </font>
    <font>
      <sz val="10.5"/>
      <color theme="1"/>
      <name val="Times New Roman"/>
      <family val="1"/>
    </font>
    <font>
      <sz val="12"/>
      <color theme="1"/>
      <name val="宋体"/>
      <family val="3"/>
      <charset val="134"/>
    </font>
    <font>
      <sz val="10"/>
      <color theme="1"/>
      <name val="Arial"/>
      <family val="2"/>
    </font>
    <font>
      <sz val="9"/>
      <color theme="1"/>
      <name val="Arial"/>
      <family val="2"/>
    </font>
    <font>
      <b/>
      <sz val="10"/>
      <color theme="1"/>
      <name val="Arial"/>
      <family val="2"/>
    </font>
    <font>
      <b/>
      <sz val="9"/>
      <color rgb="FF000000"/>
      <name val="Arial"/>
      <family val="2"/>
    </font>
    <font>
      <b/>
      <sz val="9"/>
      <color theme="1"/>
      <name val="Arial"/>
      <family val="2"/>
    </font>
    <font>
      <b/>
      <sz val="11"/>
      <color theme="1"/>
      <name val="等线"/>
      <family val="3"/>
      <charset val="134"/>
      <scheme val="minor"/>
    </font>
    <font>
      <b/>
      <sz val="14"/>
      <name val="黑体"/>
      <family val="3"/>
      <charset val="134"/>
    </font>
    <font>
      <u/>
      <sz val="10"/>
      <name val="Times New Roman"/>
      <family val="1"/>
    </font>
    <font>
      <b/>
      <sz val="10"/>
      <name val="Times New Roman"/>
      <family val="1"/>
    </font>
    <font>
      <sz val="9"/>
      <name val="Times New Roman"/>
      <family val="1"/>
    </font>
    <font>
      <b/>
      <sz val="11"/>
      <name val="宋体"/>
      <family val="3"/>
      <charset val="134"/>
    </font>
    <font>
      <sz val="10"/>
      <name val="等线"/>
      <family val="3"/>
      <charset val="134"/>
      <scheme val="minor"/>
    </font>
    <font>
      <b/>
      <sz val="16"/>
      <name val="宋体"/>
      <family val="3"/>
      <charset val="134"/>
    </font>
    <font>
      <sz val="14"/>
      <color theme="1"/>
      <name val="Times New Roman"/>
      <family val="1"/>
    </font>
    <font>
      <b/>
      <sz val="14"/>
      <color theme="1"/>
      <name val="Times New Roman"/>
      <family val="1"/>
    </font>
    <font>
      <sz val="10"/>
      <color theme="1"/>
      <name val="宋体"/>
      <family val="3"/>
      <charset val="134"/>
    </font>
    <font>
      <b/>
      <u/>
      <sz val="10"/>
      <color theme="1"/>
      <name val="Arial"/>
      <family val="2"/>
    </font>
    <font>
      <sz val="36"/>
      <color theme="1"/>
      <name val="C39HrP36DlTt"/>
    </font>
    <font>
      <sz val="10"/>
      <color theme="0"/>
      <name val="Arial"/>
      <family val="2"/>
    </font>
    <font>
      <b/>
      <u/>
      <sz val="10"/>
      <name val="宋体"/>
      <family val="3"/>
      <charset val="134"/>
    </font>
    <font>
      <sz val="11"/>
      <color rgb="FFFF0000"/>
      <name val="等线"/>
      <family val="3"/>
      <charset val="134"/>
      <scheme val="minor"/>
    </font>
    <font>
      <sz val="10"/>
      <color rgb="FFFF0000"/>
      <name val="Arial Narrow"/>
      <family val="2"/>
    </font>
    <font>
      <sz val="20"/>
      <color theme="1"/>
      <name val="等线"/>
      <family val="3"/>
      <charset val="134"/>
      <scheme val="minor"/>
    </font>
    <font>
      <sz val="11"/>
      <color rgb="FFFF0000"/>
      <name val="等线"/>
      <family val="3"/>
      <charset val="134"/>
      <scheme val="minor"/>
    </font>
    <font>
      <b/>
      <sz val="26"/>
      <color theme="1"/>
      <name val="等线"/>
      <family val="3"/>
      <charset val="134"/>
      <scheme val="minor"/>
    </font>
    <font>
      <sz val="11"/>
      <color indexed="8"/>
      <name val="宋体"/>
      <family val="3"/>
      <charset val="134"/>
    </font>
    <font>
      <sz val="10.5"/>
      <name val="宋体"/>
      <family val="3"/>
      <charset val="134"/>
    </font>
    <font>
      <u/>
      <sz val="10.5"/>
      <color theme="1"/>
      <name val="Times New Roman"/>
      <family val="1"/>
    </font>
    <font>
      <u/>
      <sz val="11"/>
      <color theme="1"/>
      <name val="等线"/>
      <family val="3"/>
      <charset val="134"/>
      <scheme val="minor"/>
    </font>
    <font>
      <b/>
      <sz val="9"/>
      <color rgb="FF000000"/>
      <name val="宋体"/>
      <family val="3"/>
      <charset val="134"/>
    </font>
    <font>
      <b/>
      <sz val="10"/>
      <color theme="1"/>
      <name val="Times New Roman"/>
      <family val="1"/>
    </font>
    <font>
      <u/>
      <sz val="9"/>
      <color theme="1"/>
      <name val="Arial"/>
      <family val="2"/>
    </font>
    <font>
      <u/>
      <sz val="9"/>
      <color rgb="FF000000"/>
      <name val="Arial"/>
      <family val="2"/>
    </font>
    <font>
      <sz val="7"/>
      <color theme="1"/>
      <name val="Times New Roman"/>
      <family val="1"/>
    </font>
    <font>
      <sz val="9"/>
      <name val="宋体"/>
      <family val="3"/>
      <charset val="134"/>
    </font>
    <font>
      <b/>
      <sz val="14"/>
      <color theme="1"/>
      <name val="宋体"/>
      <family val="3"/>
      <charset val="134"/>
    </font>
    <font>
      <b/>
      <sz val="10"/>
      <color indexed="8"/>
      <name val="宋体"/>
      <family val="3"/>
      <charset val="134"/>
    </font>
    <font>
      <b/>
      <sz val="6"/>
      <color theme="1"/>
      <name val="等线"/>
      <family val="3"/>
      <charset val="134"/>
      <scheme val="minor"/>
    </font>
    <font>
      <sz val="11"/>
      <color rgb="FF000000"/>
      <name val="等线"/>
      <family val="3"/>
      <charset val="134"/>
    </font>
    <font>
      <b/>
      <sz val="9"/>
      <name val="宋体"/>
      <family val="3"/>
      <charset val="134"/>
    </font>
    <font>
      <sz val="9"/>
      <name val="等线"/>
      <family val="3"/>
      <charset val="134"/>
      <scheme val="minor"/>
    </font>
  </fonts>
  <fills count="9">
    <fill>
      <patternFill patternType="none"/>
    </fill>
    <fill>
      <patternFill patternType="gray125"/>
    </fill>
    <fill>
      <patternFill patternType="solid">
        <fgColor theme="0"/>
        <bgColor indexed="64"/>
      </patternFill>
    </fill>
    <fill>
      <patternFill patternType="solid">
        <fgColor theme="5" tint="0.79995117038483843"/>
        <bgColor indexed="64"/>
      </patternFill>
    </fill>
    <fill>
      <patternFill patternType="solid">
        <fgColor indexed="44"/>
        <bgColor indexed="64"/>
      </patternFill>
    </fill>
    <fill>
      <patternFill patternType="solid">
        <fgColor theme="5" tint="0.79982909634693444"/>
        <bgColor indexed="64"/>
      </patternFill>
    </fill>
    <fill>
      <patternFill patternType="solid">
        <fgColor theme="2"/>
        <bgColor indexed="64"/>
      </patternFill>
    </fill>
    <fill>
      <patternFill patternType="solid">
        <fgColor theme="5" tint="0.79989013336588644"/>
        <bgColor indexed="64"/>
      </patternFill>
    </fill>
    <fill>
      <patternFill patternType="solid">
        <fgColor theme="8" tint="0.79995117038483843"/>
        <bgColor indexed="64"/>
      </patternFill>
    </fill>
  </fills>
  <borders count="50">
    <border>
      <left/>
      <right/>
      <top/>
      <bottom/>
      <diagonal/>
    </border>
    <border>
      <left style="medium">
        <color auto="1"/>
      </left>
      <right/>
      <top style="medium">
        <color auto="1"/>
      </top>
      <bottom/>
      <diagonal/>
    </border>
    <border>
      <left/>
      <right/>
      <top style="medium">
        <color auto="1"/>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right style="medium">
        <color auto="1"/>
      </right>
      <top style="medium">
        <color auto="1"/>
      </top>
      <bottom/>
      <diagonal/>
    </border>
    <border>
      <left/>
      <right style="medium">
        <color auto="1"/>
      </right>
      <top/>
      <bottom/>
      <diagonal/>
    </border>
    <border>
      <left/>
      <right style="medium">
        <color auto="1"/>
      </right>
      <top/>
      <bottom style="medium">
        <color auto="1"/>
      </bottom>
      <diagonal/>
    </border>
    <border>
      <left/>
      <right style="thin">
        <color auto="1"/>
      </right>
      <top style="thin">
        <color auto="1"/>
      </top>
      <bottom/>
      <diagonal/>
    </border>
    <border>
      <left/>
      <right style="thin">
        <color auto="1"/>
      </right>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style="medium">
        <color auto="1"/>
      </left>
      <right style="medium">
        <color auto="1"/>
      </right>
      <top/>
      <bottom/>
      <diagonal/>
    </border>
    <border>
      <left/>
      <right/>
      <top style="thin">
        <color auto="1"/>
      </top>
      <bottom style="double">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medium">
        <color auto="1"/>
      </top>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medium">
        <color auto="1"/>
      </top>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
      <left style="thin">
        <color auto="1"/>
      </left>
      <right style="medium">
        <color auto="1"/>
      </right>
      <top style="medium">
        <color auto="1"/>
      </top>
      <bottom style="thin">
        <color auto="1"/>
      </bottom>
      <diagonal/>
    </border>
    <border>
      <left/>
      <right style="medium">
        <color auto="1"/>
      </right>
      <top style="thin">
        <color auto="1"/>
      </top>
      <bottom style="thin">
        <color auto="1"/>
      </bottom>
      <diagonal/>
    </border>
    <border>
      <left style="thin">
        <color auto="1"/>
      </left>
      <right/>
      <top style="medium">
        <color auto="1"/>
      </top>
      <bottom/>
      <diagonal/>
    </border>
    <border>
      <left/>
      <right style="thin">
        <color auto="1"/>
      </right>
      <top style="medium">
        <color auto="1"/>
      </top>
      <bottom/>
      <diagonal/>
    </border>
    <border>
      <left style="thin">
        <color auto="1"/>
      </left>
      <right/>
      <top/>
      <bottom style="medium">
        <color auto="1"/>
      </bottom>
      <diagonal/>
    </border>
    <border>
      <left/>
      <right style="thin">
        <color auto="1"/>
      </right>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s>
  <cellStyleXfs count="27">
    <xf numFmtId="0" fontId="0" fillId="0" borderId="0"/>
    <xf numFmtId="0" fontId="25" fillId="0" borderId="0">
      <alignment vertical="center"/>
    </xf>
    <xf numFmtId="0" fontId="25" fillId="0" borderId="0">
      <alignment vertical="center"/>
    </xf>
    <xf numFmtId="43" fontId="10" fillId="0" borderId="0" applyFont="0" applyFill="0" applyBorder="0" applyAlignment="0" applyProtection="0">
      <alignment vertical="center"/>
    </xf>
    <xf numFmtId="0" fontId="19" fillId="0" borderId="0" applyNumberFormat="0" applyFill="0" applyBorder="0" applyAlignment="0" applyProtection="0"/>
    <xf numFmtId="0" fontId="25" fillId="0" borderId="0"/>
    <xf numFmtId="9" fontId="10" fillId="0" borderId="0" applyFont="0" applyFill="0" applyBorder="0" applyAlignment="0" applyProtection="0">
      <alignment vertical="center"/>
    </xf>
    <xf numFmtId="43" fontId="25" fillId="0" borderId="0" applyFont="0" applyFill="0" applyBorder="0" applyAlignment="0" applyProtection="0">
      <alignment vertical="center"/>
    </xf>
    <xf numFmtId="0" fontId="25" fillId="0" borderId="0"/>
    <xf numFmtId="176" fontId="10" fillId="0" borderId="0"/>
    <xf numFmtId="0" fontId="25" fillId="0" borderId="0">
      <alignment vertical="center"/>
    </xf>
    <xf numFmtId="0" fontId="25" fillId="0" borderId="0"/>
    <xf numFmtId="0" fontId="25" fillId="0" borderId="0">
      <alignment vertical="center"/>
    </xf>
    <xf numFmtId="176" fontId="25" fillId="0" borderId="0"/>
    <xf numFmtId="0" fontId="25" fillId="0" borderId="0"/>
    <xf numFmtId="176" fontId="25" fillId="0" borderId="0"/>
    <xf numFmtId="0" fontId="25" fillId="0" borderId="0">
      <alignment vertical="center"/>
    </xf>
    <xf numFmtId="0" fontId="26" fillId="0" borderId="0"/>
    <xf numFmtId="0" fontId="25" fillId="0" borderId="0">
      <alignment vertical="center"/>
    </xf>
    <xf numFmtId="0" fontId="25" fillId="0" borderId="0"/>
    <xf numFmtId="0" fontId="25" fillId="0" borderId="0">
      <alignment vertical="center"/>
    </xf>
    <xf numFmtId="43" fontId="10" fillId="0" borderId="0" applyFont="0" applyFill="0" applyBorder="0" applyAlignment="0" applyProtection="0">
      <alignment vertical="center"/>
    </xf>
    <xf numFmtId="43" fontId="10" fillId="0" borderId="0" applyFont="0" applyFill="0" applyBorder="0" applyAlignment="0" applyProtection="0">
      <alignment vertical="center"/>
    </xf>
    <xf numFmtId="43" fontId="83" fillId="0" borderId="0" applyFont="0" applyFill="0" applyBorder="0" applyAlignment="0" applyProtection="0">
      <alignment vertical="center"/>
    </xf>
    <xf numFmtId="43"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10" fillId="0" borderId="0" applyFont="0" applyFill="0" applyBorder="0" applyAlignment="0" applyProtection="0">
      <alignment vertical="center"/>
    </xf>
  </cellStyleXfs>
  <cellXfs count="859">
    <xf numFmtId="0" fontId="0" fillId="0" borderId="0" xfId="0"/>
    <xf numFmtId="0" fontId="1" fillId="0" borderId="0" xfId="0" applyFont="1" applyAlignment="1">
      <alignment vertical="center"/>
    </xf>
    <xf numFmtId="0" fontId="2" fillId="0" borderId="0" xfId="18" applyFont="1">
      <alignment vertical="center"/>
    </xf>
    <xf numFmtId="177" fontId="3" fillId="0" borderId="1" xfId="5" applyNumberFormat="1" applyFont="1" applyBorder="1" applyAlignment="1">
      <alignment vertical="center"/>
    </xf>
    <xf numFmtId="0" fontId="4" fillId="0" borderId="2" xfId="5" applyFont="1" applyBorder="1" applyAlignment="1">
      <alignment vertical="center"/>
    </xf>
    <xf numFmtId="0" fontId="1" fillId="0" borderId="2" xfId="0" applyFont="1" applyBorder="1" applyAlignment="1">
      <alignment vertical="center"/>
    </xf>
    <xf numFmtId="0" fontId="4" fillId="0" borderId="2" xfId="5" applyFont="1" applyBorder="1" applyAlignment="1">
      <alignment horizontal="right" vertical="center"/>
    </xf>
    <xf numFmtId="0" fontId="3" fillId="0" borderId="3" xfId="5" applyFont="1" applyBorder="1" applyAlignment="1">
      <alignment vertical="center"/>
    </xf>
    <xf numFmtId="0" fontId="4" fillId="0" borderId="0" xfId="5" applyFont="1" applyAlignment="1">
      <alignment vertical="center"/>
    </xf>
    <xf numFmtId="0" fontId="4" fillId="0" borderId="0" xfId="5" applyFont="1" applyAlignment="1">
      <alignment horizontal="right" vertical="center"/>
    </xf>
    <xf numFmtId="178" fontId="3" fillId="0" borderId="0" xfId="5" applyNumberFormat="1" applyFont="1" applyAlignment="1">
      <alignment horizontal="left" vertical="center"/>
    </xf>
    <xf numFmtId="0" fontId="5" fillId="0" borderId="4" xfId="5" applyFont="1" applyBorder="1" applyAlignment="1">
      <alignment vertical="center"/>
    </xf>
    <xf numFmtId="0" fontId="4" fillId="0" borderId="5" xfId="5" applyFont="1" applyBorder="1" applyAlignment="1">
      <alignment vertical="center"/>
    </xf>
    <xf numFmtId="0" fontId="1" fillId="0" borderId="5" xfId="0" applyFont="1" applyBorder="1" applyAlignment="1">
      <alignment vertical="center"/>
    </xf>
    <xf numFmtId="0" fontId="4" fillId="0" borderId="5" xfId="5" applyFont="1" applyBorder="1" applyAlignment="1">
      <alignment horizontal="right" vertical="center"/>
    </xf>
    <xf numFmtId="178" fontId="3" fillId="0" borderId="5" xfId="5" applyNumberFormat="1" applyFont="1" applyBorder="1" applyAlignment="1">
      <alignment horizontal="left" vertical="center"/>
    </xf>
    <xf numFmtId="178" fontId="4" fillId="0" borderId="0" xfId="5" applyNumberFormat="1" applyFont="1" applyAlignment="1">
      <alignment horizontal="left" vertical="center"/>
    </xf>
    <xf numFmtId="14" fontId="6" fillId="0" borderId="0" xfId="8" applyNumberFormat="1" applyFont="1" applyAlignment="1">
      <alignment horizontal="left" vertical="center" shrinkToFit="1"/>
    </xf>
    <xf numFmtId="0" fontId="7" fillId="0" borderId="6"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8" fillId="0" borderId="6" xfId="0" applyFont="1" applyFill="1" applyBorder="1" applyAlignment="1">
      <alignment horizontal="center" vertical="center" wrapText="1"/>
    </xf>
    <xf numFmtId="0" fontId="1" fillId="2" borderId="6" xfId="0" applyFont="1" applyFill="1" applyBorder="1" applyAlignment="1">
      <alignment wrapText="1"/>
    </xf>
    <xf numFmtId="43" fontId="1" fillId="2" borderId="6" xfId="3" applyFont="1" applyFill="1" applyBorder="1" applyAlignment="1">
      <alignment vertical="center"/>
    </xf>
    <xf numFmtId="0" fontId="1" fillId="0" borderId="6" xfId="0" applyFont="1" applyFill="1" applyBorder="1" applyAlignment="1">
      <alignment horizontal="center" wrapText="1"/>
    </xf>
    <xf numFmtId="0" fontId="1" fillId="0" borderId="6" xfId="0" applyFont="1" applyBorder="1" applyAlignment="1">
      <alignment horizontal="center" wrapText="1"/>
    </xf>
    <xf numFmtId="0" fontId="6" fillId="0" borderId="6" xfId="0" applyFont="1" applyBorder="1" applyAlignment="1">
      <alignment horizontal="left" vertical="center"/>
    </xf>
    <xf numFmtId="0" fontId="6" fillId="0" borderId="3" xfId="0" applyFont="1" applyBorder="1" applyAlignment="1">
      <alignment horizontal="left" vertical="center" wrapText="1"/>
    </xf>
    <xf numFmtId="0" fontId="6" fillId="0" borderId="0" xfId="0" applyFont="1" applyAlignment="1">
      <alignment horizontal="left" vertical="center" wrapText="1"/>
    </xf>
    <xf numFmtId="43" fontId="6" fillId="0" borderId="0" xfId="3" applyFont="1" applyFill="1" applyBorder="1" applyAlignment="1">
      <alignment vertical="center" wrapText="1"/>
    </xf>
    <xf numFmtId="43" fontId="6" fillId="0" borderId="0" xfId="3" applyFont="1" applyFill="1" applyBorder="1" applyAlignment="1">
      <alignment horizontal="center" vertical="center" wrapText="1"/>
    </xf>
    <xf numFmtId="0" fontId="4" fillId="0" borderId="3" xfId="5" applyFont="1" applyBorder="1" applyAlignment="1">
      <alignment vertical="center"/>
    </xf>
    <xf numFmtId="0" fontId="6" fillId="0" borderId="6" xfId="0" applyFont="1" applyBorder="1" applyAlignment="1">
      <alignment horizontal="center" vertical="center" wrapText="1"/>
    </xf>
    <xf numFmtId="0" fontId="1" fillId="0" borderId="6" xfId="0" applyFont="1" applyBorder="1" applyAlignment="1">
      <alignment vertical="center"/>
    </xf>
    <xf numFmtId="43" fontId="6" fillId="0" borderId="6" xfId="3" applyFont="1" applyFill="1" applyBorder="1" applyAlignment="1">
      <alignment horizontal="center" vertical="center" wrapText="1"/>
    </xf>
    <xf numFmtId="0" fontId="6" fillId="0" borderId="0" xfId="0" applyFont="1" applyAlignment="1">
      <alignment horizontal="left" vertical="center"/>
    </xf>
    <xf numFmtId="0" fontId="6" fillId="0" borderId="0" xfId="0" applyFont="1" applyAlignment="1">
      <alignment vertical="center"/>
    </xf>
    <xf numFmtId="0" fontId="4" fillId="0" borderId="7" xfId="8" applyFont="1" applyBorder="1" applyAlignment="1">
      <alignment horizontal="left" vertical="center"/>
    </xf>
    <xf numFmtId="0" fontId="6" fillId="0" borderId="8" xfId="0" applyFont="1" applyBorder="1" applyAlignment="1">
      <alignment vertical="center"/>
    </xf>
    <xf numFmtId="0" fontId="6" fillId="0" borderId="9" xfId="0" applyFont="1" applyBorder="1" applyAlignment="1">
      <alignment vertical="center"/>
    </xf>
    <xf numFmtId="0" fontId="6" fillId="0" borderId="10" xfId="0" applyFont="1" applyBorder="1" applyAlignment="1">
      <alignment vertical="center"/>
    </xf>
    <xf numFmtId="0" fontId="1" fillId="0" borderId="11" xfId="0" applyFont="1" applyBorder="1" applyAlignment="1">
      <alignment vertical="center"/>
    </xf>
    <xf numFmtId="0" fontId="1" fillId="0" borderId="8" xfId="0" applyFont="1" applyBorder="1" applyAlignment="1">
      <alignment vertical="center"/>
    </xf>
    <xf numFmtId="0" fontId="1" fillId="0" borderId="14" xfId="0" applyFont="1" applyBorder="1" applyAlignment="1">
      <alignment vertical="center"/>
    </xf>
    <xf numFmtId="0" fontId="6" fillId="0" borderId="15" xfId="0" applyFont="1" applyBorder="1" applyAlignment="1">
      <alignment vertical="center"/>
    </xf>
    <xf numFmtId="43" fontId="9" fillId="3" borderId="0" xfId="3" applyFont="1" applyFill="1" applyAlignment="1">
      <alignment horizontal="right" vertical="center"/>
    </xf>
    <xf numFmtId="43" fontId="9" fillId="2" borderId="0" xfId="3" applyFont="1" applyFill="1" applyAlignment="1">
      <alignment horizontal="center" vertical="center"/>
    </xf>
    <xf numFmtId="43" fontId="9" fillId="2" borderId="0" xfId="3" applyFont="1" applyFill="1" applyAlignment="1">
      <alignment horizontal="left" vertical="center"/>
    </xf>
    <xf numFmtId="43" fontId="10" fillId="3" borderId="0" xfId="3" applyFont="1" applyFill="1" applyAlignment="1">
      <alignment horizontal="right" vertical="center" wrapText="1"/>
    </xf>
    <xf numFmtId="43" fontId="10" fillId="2" borderId="0" xfId="3" applyFont="1" applyFill="1" applyAlignment="1">
      <alignment horizontal="center" vertical="center"/>
    </xf>
    <xf numFmtId="0" fontId="10" fillId="0" borderId="0" xfId="3" applyNumberFormat="1" applyFont="1" applyFill="1" applyAlignment="1">
      <alignment horizontal="center" vertical="center" wrapText="1"/>
    </xf>
    <xf numFmtId="43" fontId="9" fillId="3" borderId="6" xfId="3" applyFont="1" applyFill="1" applyBorder="1" applyAlignment="1">
      <alignment horizontal="center" vertical="center"/>
    </xf>
    <xf numFmtId="43" fontId="9" fillId="3" borderId="16" xfId="3" applyFont="1" applyFill="1" applyBorder="1" applyAlignment="1">
      <alignment horizontal="center" vertical="center" wrapText="1"/>
    </xf>
    <xf numFmtId="43" fontId="8" fillId="0" borderId="6" xfId="3" applyFont="1" applyBorder="1" applyAlignment="1">
      <alignment horizontal="center" vertical="center"/>
    </xf>
    <xf numFmtId="0" fontId="11" fillId="0" borderId="6" xfId="16" applyFont="1" applyBorder="1" applyAlignment="1">
      <alignment horizontal="centerContinuous" vertical="center"/>
    </xf>
    <xf numFmtId="0" fontId="11" fillId="0" borderId="6" xfId="16" applyFont="1" applyBorder="1" applyAlignment="1">
      <alignment horizontal="center" vertical="center"/>
    </xf>
    <xf numFmtId="0" fontId="7" fillId="4" borderId="6" xfId="0" applyFont="1" applyFill="1" applyBorder="1" applyAlignment="1">
      <alignment vertical="center" wrapText="1"/>
    </xf>
    <xf numFmtId="0" fontId="8" fillId="4" borderId="6" xfId="0" applyFont="1" applyFill="1" applyBorder="1" applyAlignment="1">
      <alignment vertical="center" wrapText="1"/>
    </xf>
    <xf numFmtId="0" fontId="1" fillId="4" borderId="6" xfId="0" applyFont="1" applyFill="1" applyBorder="1" applyAlignment="1">
      <alignment horizontal="center" vertical="center" wrapText="1"/>
    </xf>
    <xf numFmtId="0" fontId="12" fillId="4" borderId="6" xfId="0" applyFont="1" applyFill="1" applyBorder="1" applyAlignment="1">
      <alignment horizontal="center" vertical="center" wrapText="1"/>
    </xf>
    <xf numFmtId="0" fontId="1" fillId="4" borderId="6" xfId="0" applyFont="1" applyFill="1" applyBorder="1" applyAlignment="1">
      <alignment wrapText="1"/>
    </xf>
    <xf numFmtId="0" fontId="1" fillId="4" borderId="6" xfId="0" applyFont="1" applyFill="1" applyBorder="1" applyAlignment="1">
      <alignment horizontal="center" wrapText="1"/>
    </xf>
    <xf numFmtId="0" fontId="13" fillId="0" borderId="0" xfId="16" applyFont="1" applyAlignment="1">
      <alignment horizontal="left" vertical="center"/>
    </xf>
    <xf numFmtId="0" fontId="14" fillId="0" borderId="0" xfId="16" applyFont="1" applyAlignment="1">
      <alignment horizontal="left" vertical="center"/>
    </xf>
    <xf numFmtId="0" fontId="14" fillId="0" borderId="0" xfId="16" applyFont="1">
      <alignment vertical="center"/>
    </xf>
    <xf numFmtId="0" fontId="15" fillId="0" borderId="0" xfId="20" applyFont="1">
      <alignment vertical="center"/>
    </xf>
    <xf numFmtId="0" fontId="16" fillId="0" borderId="0" xfId="16" applyFont="1">
      <alignment vertical="center"/>
    </xf>
    <xf numFmtId="0" fontId="17" fillId="0" borderId="0" xfId="16" applyFont="1" applyAlignment="1">
      <alignment horizontal="centerContinuous" vertical="center"/>
    </xf>
    <xf numFmtId="0" fontId="18" fillId="0" borderId="0" xfId="16" applyFont="1" applyAlignment="1">
      <alignment horizontal="right" vertical="center"/>
    </xf>
    <xf numFmtId="0" fontId="19" fillId="0" borderId="0" xfId="4" applyAlignment="1">
      <alignment vertical="center"/>
    </xf>
    <xf numFmtId="0" fontId="20" fillId="0" borderId="0" xfId="16" applyFont="1" applyAlignment="1">
      <alignment horizontal="right" vertical="center"/>
    </xf>
    <xf numFmtId="0" fontId="14" fillId="0" borderId="10" xfId="16" applyFont="1" applyBorder="1">
      <alignment vertical="center"/>
    </xf>
    <xf numFmtId="0" fontId="20" fillId="0" borderId="0" xfId="16" applyFont="1" applyAlignment="1">
      <alignment horizontal="left" vertical="center"/>
    </xf>
    <xf numFmtId="0" fontId="19" fillId="5" borderId="0" xfId="4" applyFill="1" applyAlignment="1">
      <alignment vertical="center"/>
    </xf>
    <xf numFmtId="0" fontId="14" fillId="0" borderId="0" xfId="16" applyFont="1" applyAlignment="1">
      <alignment horizontal="left" vertical="center" wrapText="1"/>
    </xf>
    <xf numFmtId="0" fontId="21" fillId="0" borderId="0" xfId="16" applyFont="1">
      <alignment vertical="center"/>
    </xf>
    <xf numFmtId="0" fontId="20" fillId="0" borderId="0" xfId="16" applyFont="1" applyAlignment="1">
      <alignment horizontal="left" vertical="distributed" wrapText="1"/>
    </xf>
    <xf numFmtId="0" fontId="14" fillId="0" borderId="0" xfId="16" applyFont="1" applyAlignment="1">
      <alignment horizontal="left" vertical="distributed"/>
    </xf>
    <xf numFmtId="0" fontId="20" fillId="0" borderId="0" xfId="16" applyFont="1" applyAlignment="1">
      <alignment vertical="distributed" wrapText="1"/>
    </xf>
    <xf numFmtId="49" fontId="14" fillId="0" borderId="0" xfId="16" applyNumberFormat="1" applyFont="1">
      <alignment vertical="center"/>
    </xf>
    <xf numFmtId="0" fontId="22" fillId="0" borderId="0" xfId="16" applyFont="1" applyAlignment="1">
      <alignment horizontal="center" vertical="center"/>
    </xf>
    <xf numFmtId="0" fontId="14" fillId="0" borderId="0" xfId="16" applyFont="1" applyAlignment="1">
      <alignment horizontal="centerContinuous" vertical="center"/>
    </xf>
    <xf numFmtId="0" fontId="20" fillId="0" borderId="0" xfId="16" applyFont="1" applyAlignment="1">
      <alignment horizontal="center" vertical="center"/>
    </xf>
    <xf numFmtId="0" fontId="14" fillId="0" borderId="17" xfId="16" applyFont="1" applyBorder="1" applyAlignment="1">
      <alignment horizontal="centerContinuous" vertical="center" wrapText="1"/>
    </xf>
    <xf numFmtId="0" fontId="14" fillId="0" borderId="6" xfId="16" applyFont="1" applyBorder="1" applyAlignment="1">
      <alignment horizontal="center" vertical="center" wrapText="1"/>
    </xf>
    <xf numFmtId="43" fontId="23" fillId="0" borderId="6" xfId="21" applyFont="1" applyBorder="1" applyAlignment="1">
      <alignment horizontal="left" vertical="center"/>
    </xf>
    <xf numFmtId="43" fontId="14" fillId="0" borderId="6" xfId="21" applyFont="1" applyBorder="1" applyAlignment="1">
      <alignment horizontal="center" vertical="center" wrapText="1"/>
    </xf>
    <xf numFmtId="9" fontId="14" fillId="0" borderId="6" xfId="6" applyFont="1" applyBorder="1" applyAlignment="1">
      <alignment horizontal="center" vertical="center" wrapText="1"/>
    </xf>
    <xf numFmtId="14" fontId="23" fillId="0" borderId="6" xfId="0" applyNumberFormat="1" applyFont="1" applyBorder="1" applyAlignment="1">
      <alignment horizontal="center" wrapText="1"/>
    </xf>
    <xf numFmtId="43" fontId="14" fillId="0" borderId="6" xfId="21" applyFont="1" applyBorder="1">
      <alignment vertical="center"/>
    </xf>
    <xf numFmtId="43" fontId="14" fillId="0" borderId="6" xfId="21" applyFont="1" applyBorder="1" applyAlignment="1">
      <alignment horizontal="center" vertical="center"/>
    </xf>
    <xf numFmtId="179" fontId="20" fillId="0" borderId="0" xfId="16" applyNumberFormat="1" applyFont="1" applyAlignment="1">
      <alignment horizontal="left" vertical="center"/>
    </xf>
    <xf numFmtId="43" fontId="14" fillId="0" borderId="0" xfId="21" applyFont="1" applyAlignment="1">
      <alignment horizontal="right" vertical="center"/>
    </xf>
    <xf numFmtId="0" fontId="14" fillId="0" borderId="0" xfId="16" applyFont="1" applyAlignment="1">
      <alignment horizontal="center" vertical="center"/>
    </xf>
    <xf numFmtId="14" fontId="14" fillId="0" borderId="0" xfId="16" applyNumberFormat="1" applyFont="1" applyAlignment="1">
      <alignment horizontal="center" vertical="center"/>
    </xf>
    <xf numFmtId="43" fontId="14" fillId="0" borderId="0" xfId="21" applyFont="1" applyAlignment="1">
      <alignment horizontal="center" vertical="center"/>
    </xf>
    <xf numFmtId="43" fontId="14" fillId="0" borderId="0" xfId="21" applyFont="1" applyAlignment="1">
      <alignment horizontal="centerContinuous" vertical="center"/>
    </xf>
    <xf numFmtId="0" fontId="14" fillId="0" borderId="0" xfId="16" applyFont="1" applyAlignment="1">
      <alignment horizontal="right" vertical="center"/>
    </xf>
    <xf numFmtId="31" fontId="14" fillId="0" borderId="0" xfId="16" applyNumberFormat="1" applyFont="1" applyAlignment="1">
      <alignment horizontal="center" vertical="center"/>
    </xf>
    <xf numFmtId="0" fontId="20" fillId="0" borderId="0" xfId="16" applyFont="1">
      <alignment vertical="center"/>
    </xf>
    <xf numFmtId="0" fontId="20" fillId="0" borderId="7" xfId="16" applyFont="1" applyBorder="1">
      <alignment vertical="center"/>
    </xf>
    <xf numFmtId="0" fontId="14" fillId="0" borderId="8" xfId="16" applyFont="1" applyBorder="1" applyAlignment="1">
      <alignment horizontal="left" vertical="center"/>
    </xf>
    <xf numFmtId="0" fontId="14" fillId="0" borderId="8" xfId="16" applyFont="1" applyBorder="1">
      <alignment vertical="center"/>
    </xf>
    <xf numFmtId="0" fontId="14" fillId="0" borderId="14" xfId="16" applyFont="1" applyBorder="1">
      <alignment vertical="center"/>
    </xf>
    <xf numFmtId="0" fontId="14" fillId="0" borderId="19" xfId="16" applyFont="1" applyBorder="1">
      <alignment vertical="center"/>
    </xf>
    <xf numFmtId="0" fontId="14" fillId="0" borderId="20" xfId="16" applyFont="1" applyBorder="1">
      <alignment vertical="center"/>
    </xf>
    <xf numFmtId="0" fontId="20" fillId="0" borderId="0" xfId="11" applyFont="1" applyAlignment="1">
      <alignment vertical="center"/>
    </xf>
    <xf numFmtId="0" fontId="14" fillId="0" borderId="9" xfId="16" applyFont="1" applyBorder="1">
      <alignment vertical="center"/>
    </xf>
    <xf numFmtId="0" fontId="14" fillId="0" borderId="15" xfId="16" applyFont="1" applyBorder="1">
      <alignment vertical="center"/>
    </xf>
    <xf numFmtId="0" fontId="11" fillId="0" borderId="0" xfId="16" applyFont="1">
      <alignment vertical="center"/>
    </xf>
    <xf numFmtId="0" fontId="13" fillId="0" borderId="0" xfId="16" applyFont="1">
      <alignment vertical="center"/>
    </xf>
    <xf numFmtId="43" fontId="9" fillId="5" borderId="0" xfId="21" applyFont="1" applyFill="1" applyAlignment="1">
      <alignment horizontal="right" vertical="center"/>
    </xf>
    <xf numFmtId="43" fontId="9" fillId="2" borderId="0" xfId="21" applyFont="1" applyFill="1" applyAlignment="1">
      <alignment horizontal="center" vertical="center"/>
    </xf>
    <xf numFmtId="43" fontId="9" fillId="2" borderId="0" xfId="21" applyFont="1" applyFill="1" applyAlignment="1">
      <alignment horizontal="left" vertical="center"/>
    </xf>
    <xf numFmtId="0" fontId="13" fillId="0" borderId="0" xfId="16" applyFont="1" applyAlignment="1">
      <alignment horizontal="center" vertical="center"/>
    </xf>
    <xf numFmtId="43" fontId="9" fillId="5" borderId="0" xfId="21" applyFont="1" applyFill="1" applyAlignment="1">
      <alignment horizontal="center" vertical="center"/>
    </xf>
    <xf numFmtId="0" fontId="24" fillId="0" borderId="0" xfId="0" applyFont="1" applyAlignment="1">
      <alignment wrapText="1"/>
    </xf>
    <xf numFmtId="0" fontId="6" fillId="2" borderId="6" xfId="16" applyFont="1" applyFill="1" applyBorder="1" applyAlignment="1">
      <alignment horizontal="centerContinuous" vertical="center" wrapText="1"/>
    </xf>
    <xf numFmtId="43" fontId="10" fillId="3" borderId="19" xfId="3" applyFont="1" applyFill="1" applyBorder="1" applyAlignment="1">
      <alignment vertical="center" wrapText="1"/>
    </xf>
    <xf numFmtId="43" fontId="10" fillId="3" borderId="0" xfId="3" applyFont="1" applyFill="1" applyAlignment="1">
      <alignment vertical="center" wrapText="1"/>
    </xf>
    <xf numFmtId="0" fontId="19" fillId="3" borderId="0" xfId="4" applyFill="1" applyAlignment="1">
      <alignment vertical="center"/>
    </xf>
    <xf numFmtId="0" fontId="25" fillId="0" borderId="0" xfId="14" applyAlignment="1">
      <alignment vertical="center"/>
    </xf>
    <xf numFmtId="0" fontId="26" fillId="0" borderId="0" xfId="14" applyFont="1" applyAlignment="1">
      <alignment vertical="center"/>
    </xf>
    <xf numFmtId="0" fontId="27" fillId="0" borderId="0" xfId="14" applyFont="1" applyAlignment="1">
      <alignment vertical="center"/>
    </xf>
    <xf numFmtId="0" fontId="28" fillId="0" borderId="0" xfId="14" applyFont="1" applyAlignment="1">
      <alignment horizontal="right" vertical="center"/>
    </xf>
    <xf numFmtId="1" fontId="30" fillId="0" borderId="0" xfId="14" applyNumberFormat="1" applyFont="1" applyAlignment="1">
      <alignment shrinkToFit="1"/>
    </xf>
    <xf numFmtId="0" fontId="11" fillId="0" borderId="0" xfId="14" applyFont="1" applyAlignment="1">
      <alignment horizontal="right"/>
    </xf>
    <xf numFmtId="0" fontId="11" fillId="0" borderId="0" xfId="14" applyFont="1" applyAlignment="1">
      <alignment vertical="center"/>
    </xf>
    <xf numFmtId="0" fontId="11" fillId="0" borderId="0" xfId="14" applyFont="1" applyAlignment="1">
      <alignment horizontal="left" vertical="center"/>
    </xf>
    <xf numFmtId="0" fontId="26" fillId="0" borderId="0" xfId="14" applyFont="1" applyAlignment="1">
      <alignment horizontal="left" vertical="center"/>
    </xf>
    <xf numFmtId="0" fontId="26" fillId="0" borderId="0" xfId="14" applyFont="1" applyAlignment="1">
      <alignment horizontal="left" vertical="center" indent="1"/>
    </xf>
    <xf numFmtId="0" fontId="11" fillId="0" borderId="0" xfId="14" applyFont="1" applyAlignment="1">
      <alignment horizontal="right" vertical="center"/>
    </xf>
    <xf numFmtId="0" fontId="11" fillId="0" borderId="6" xfId="14" applyFont="1" applyBorder="1" applyAlignment="1">
      <alignment horizontal="center" vertical="center" wrapText="1"/>
    </xf>
    <xf numFmtId="0" fontId="11" fillId="0" borderId="17" xfId="14" applyFont="1" applyBorder="1" applyAlignment="1">
      <alignment horizontal="center" vertical="center" wrapText="1"/>
    </xf>
    <xf numFmtId="179" fontId="26" fillId="0" borderId="6" xfId="14" applyNumberFormat="1" applyFont="1" applyBorder="1" applyAlignment="1">
      <alignment horizontal="center" vertical="center" wrapText="1"/>
    </xf>
    <xf numFmtId="43" fontId="26" fillId="0" borderId="17" xfId="21" applyFont="1" applyBorder="1" applyAlignment="1">
      <alignment vertical="center" wrapText="1"/>
    </xf>
    <xf numFmtId="43" fontId="26" fillId="0" borderId="6" xfId="21" applyFont="1" applyBorder="1" applyAlignment="1">
      <alignment vertical="center" wrapText="1"/>
    </xf>
    <xf numFmtId="0" fontId="26" fillId="0" borderId="6" xfId="14" applyFont="1" applyBorder="1" applyAlignment="1">
      <alignment horizontal="center" vertical="center" wrapText="1"/>
    </xf>
    <xf numFmtId="10" fontId="26" fillId="0" borderId="6" xfId="6" applyNumberFormat="1" applyFont="1" applyBorder="1" applyAlignment="1">
      <alignment horizontal="center" vertical="center" wrapText="1"/>
    </xf>
    <xf numFmtId="43" fontId="26" fillId="0" borderId="6" xfId="21" applyFont="1" applyBorder="1" applyAlignment="1">
      <alignment horizontal="center" vertical="center"/>
    </xf>
    <xf numFmtId="0" fontId="11" fillId="0" borderId="6" xfId="14" applyFont="1" applyBorder="1" applyAlignment="1">
      <alignment horizontal="left" vertical="center" wrapText="1"/>
    </xf>
    <xf numFmtId="0" fontId="26" fillId="0" borderId="0" xfId="14" applyFont="1" applyAlignment="1">
      <alignment vertical="top" wrapText="1"/>
    </xf>
    <xf numFmtId="179" fontId="26" fillId="0" borderId="0" xfId="14" applyNumberFormat="1" applyFont="1" applyAlignment="1">
      <alignment vertical="center"/>
    </xf>
    <xf numFmtId="179" fontId="26" fillId="0" borderId="0" xfId="14" applyNumberFormat="1" applyFont="1"/>
    <xf numFmtId="0" fontId="3" fillId="0" borderId="0" xfId="14" applyFont="1" applyAlignment="1">
      <alignment vertical="center"/>
    </xf>
    <xf numFmtId="0" fontId="31" fillId="0" borderId="0" xfId="14" applyFont="1" applyAlignment="1">
      <alignment vertical="center"/>
    </xf>
    <xf numFmtId="0" fontId="31" fillId="0" borderId="7" xfId="14" applyFont="1" applyBorder="1" applyAlignment="1">
      <alignment vertical="center"/>
    </xf>
    <xf numFmtId="0" fontId="31" fillId="0" borderId="8" xfId="14" applyFont="1" applyBorder="1" applyAlignment="1">
      <alignment vertical="center"/>
    </xf>
    <xf numFmtId="0" fontId="31" fillId="0" borderId="14" xfId="14" applyFont="1" applyBorder="1" applyAlignment="1">
      <alignment vertical="top" wrapText="1"/>
    </xf>
    <xf numFmtId="0" fontId="31" fillId="0" borderId="19" xfId="14" applyFont="1" applyBorder="1" applyAlignment="1">
      <alignment vertical="center"/>
    </xf>
    <xf numFmtId="0" fontId="31" fillId="0" borderId="20" xfId="14" applyFont="1" applyBorder="1" applyAlignment="1">
      <alignment horizontal="left" vertical="top" wrapText="1"/>
    </xf>
    <xf numFmtId="0" fontId="31" fillId="0" borderId="0" xfId="14" applyFont="1" applyAlignment="1">
      <alignment vertical="top" wrapText="1"/>
    </xf>
    <xf numFmtId="0" fontId="31" fillId="0" borderId="20" xfId="14" applyFont="1" applyBorder="1" applyAlignment="1">
      <alignment vertical="center"/>
    </xf>
    <xf numFmtId="0" fontId="31" fillId="0" borderId="20" xfId="14" applyFont="1" applyBorder="1" applyAlignment="1">
      <alignment horizontal="left" vertical="center"/>
    </xf>
    <xf numFmtId="0" fontId="3" fillId="0" borderId="19" xfId="14" applyFont="1" applyBorder="1" applyAlignment="1">
      <alignment vertical="center"/>
    </xf>
    <xf numFmtId="0" fontId="3" fillId="0" borderId="20" xfId="14" applyFont="1" applyBorder="1" applyAlignment="1">
      <alignment vertical="center"/>
    </xf>
    <xf numFmtId="0" fontId="32" fillId="0" borderId="0" xfId="14" applyFont="1" applyAlignment="1">
      <alignment vertical="center"/>
    </xf>
    <xf numFmtId="0" fontId="3" fillId="0" borderId="9" xfId="14" applyFont="1" applyBorder="1" applyAlignment="1">
      <alignment vertical="center"/>
    </xf>
    <xf numFmtId="0" fontId="31" fillId="0" borderId="10" xfId="14" applyFont="1" applyBorder="1" applyAlignment="1">
      <alignment vertical="center"/>
    </xf>
    <xf numFmtId="0" fontId="3" fillId="0" borderId="15" xfId="14" applyFont="1" applyBorder="1" applyAlignment="1">
      <alignment vertical="center"/>
    </xf>
    <xf numFmtId="0" fontId="31" fillId="0" borderId="15" xfId="14" applyFont="1" applyBorder="1" applyAlignment="1">
      <alignment vertical="center"/>
    </xf>
    <xf numFmtId="0" fontId="33" fillId="0" borderId="0" xfId="16" applyFont="1">
      <alignment vertical="center"/>
    </xf>
    <xf numFmtId="0" fontId="34" fillId="0" borderId="0" xfId="16" applyFont="1">
      <alignment vertical="center"/>
    </xf>
    <xf numFmtId="0" fontId="26" fillId="0" borderId="0" xfId="14" applyFont="1" applyAlignment="1">
      <alignment vertical="center" wrapText="1"/>
    </xf>
    <xf numFmtId="0" fontId="35" fillId="0" borderId="0" xfId="14" applyFont="1" applyAlignment="1">
      <alignment vertical="center"/>
    </xf>
    <xf numFmtId="0" fontId="11" fillId="0" borderId="6" xfId="14" applyFont="1" applyBorder="1" applyAlignment="1">
      <alignment horizontal="center" vertical="center"/>
    </xf>
    <xf numFmtId="14" fontId="26" fillId="0" borderId="0" xfId="14" applyNumberFormat="1" applyFont="1" applyAlignment="1">
      <alignment vertical="center"/>
    </xf>
    <xf numFmtId="0" fontId="26" fillId="0" borderId="0" xfId="14" applyFont="1" applyAlignment="1">
      <alignment horizontal="right" vertical="center"/>
    </xf>
    <xf numFmtId="0" fontId="36" fillId="0" borderId="0" xfId="20" applyFont="1">
      <alignment vertical="center"/>
    </xf>
    <xf numFmtId="0" fontId="14" fillId="0" borderId="0" xfId="16" applyFont="1" applyAlignment="1">
      <alignment vertical="center" wrapText="1"/>
    </xf>
    <xf numFmtId="0" fontId="13" fillId="0" borderId="0" xfId="16" applyFont="1" applyAlignment="1">
      <alignment horizontal="right" vertical="center"/>
    </xf>
    <xf numFmtId="0" fontId="13" fillId="0" borderId="10" xfId="16" applyFont="1" applyBorder="1" applyAlignment="1">
      <alignment horizontal="left" vertical="center"/>
    </xf>
    <xf numFmtId="0" fontId="11" fillId="0" borderId="0" xfId="16" applyFont="1" applyAlignment="1">
      <alignment vertical="top"/>
    </xf>
    <xf numFmtId="0" fontId="11" fillId="0" borderId="0" xfId="16" applyFont="1" applyAlignment="1">
      <alignment horizontal="left" vertical="top"/>
    </xf>
    <xf numFmtId="0" fontId="13" fillId="0" borderId="0" xfId="16" applyFont="1" applyAlignment="1">
      <alignment horizontal="left" vertical="top"/>
    </xf>
    <xf numFmtId="0" fontId="37" fillId="0" borderId="0" xfId="16" applyFont="1" applyAlignment="1">
      <alignment horizontal="left" vertical="distributed"/>
    </xf>
    <xf numFmtId="0" fontId="38" fillId="0" borderId="0" xfId="16" applyFont="1" applyAlignment="1">
      <alignment vertical="top"/>
    </xf>
    <xf numFmtId="0" fontId="13" fillId="0" borderId="0" xfId="16" applyFont="1" applyAlignment="1">
      <alignment horizontal="left" vertical="distributed"/>
    </xf>
    <xf numFmtId="0" fontId="11" fillId="0" borderId="0" xfId="16" applyFont="1" applyAlignment="1">
      <alignment horizontal="left" vertical="center"/>
    </xf>
    <xf numFmtId="49" fontId="13" fillId="0" borderId="0" xfId="16" applyNumberFormat="1" applyFont="1">
      <alignment vertical="center"/>
    </xf>
    <xf numFmtId="0" fontId="13" fillId="0" borderId="0" xfId="16" applyFont="1" applyAlignment="1">
      <alignment horizontal="centerContinuous" vertical="center"/>
    </xf>
    <xf numFmtId="0" fontId="14" fillId="0" borderId="6" xfId="16" applyFont="1" applyBorder="1" applyAlignment="1">
      <alignment horizontal="centerContinuous" vertical="center" wrapText="1"/>
    </xf>
    <xf numFmtId="0" fontId="20" fillId="0" borderId="6" xfId="16" applyFont="1" applyBorder="1" applyAlignment="1">
      <alignment horizontal="center" vertical="center" wrapText="1"/>
    </xf>
    <xf numFmtId="0" fontId="14" fillId="0" borderId="6" xfId="16" applyFont="1" applyBorder="1" applyAlignment="1">
      <alignment vertical="center" wrapText="1"/>
    </xf>
    <xf numFmtId="43" fontId="14" fillId="0" borderId="6" xfId="3" applyFont="1" applyBorder="1" applyAlignment="1">
      <alignment vertical="center" wrapText="1"/>
    </xf>
    <xf numFmtId="43" fontId="39" fillId="0" borderId="6" xfId="3" applyFont="1" applyBorder="1" applyAlignment="1">
      <alignment vertical="center" wrapText="1"/>
    </xf>
    <xf numFmtId="43" fontId="39" fillId="0" borderId="6" xfId="3" applyFont="1" applyBorder="1" applyAlignment="1">
      <alignment horizontal="center" vertical="center" wrapText="1"/>
    </xf>
    <xf numFmtId="179" fontId="14" fillId="0" borderId="0" xfId="16" applyNumberFormat="1" applyFont="1" applyAlignment="1">
      <alignment horizontal="center" vertical="center" wrapText="1"/>
    </xf>
    <xf numFmtId="43" fontId="14" fillId="0" borderId="0" xfId="3" applyFont="1" applyAlignment="1">
      <alignment horizontal="right" vertical="center" wrapText="1"/>
    </xf>
    <xf numFmtId="0" fontId="14" fillId="0" borderId="0" xfId="16" applyFont="1" applyAlignment="1">
      <alignment horizontal="center" vertical="center" wrapText="1"/>
    </xf>
    <xf numFmtId="14" fontId="14" fillId="0" borderId="0" xfId="16" applyNumberFormat="1" applyFont="1" applyAlignment="1">
      <alignment horizontal="left" vertical="center" wrapText="1"/>
    </xf>
    <xf numFmtId="43" fontId="14" fillId="0" borderId="0" xfId="3" applyFont="1" applyAlignment="1">
      <alignment horizontal="center" vertical="center" wrapText="1"/>
    </xf>
    <xf numFmtId="43" fontId="11" fillId="0" borderId="6" xfId="3" applyFont="1" applyFill="1" applyBorder="1" applyAlignment="1">
      <alignment horizontal="center" vertical="center" wrapText="1"/>
    </xf>
    <xf numFmtId="14" fontId="14" fillId="0" borderId="6" xfId="16" applyNumberFormat="1" applyFont="1" applyBorder="1" applyAlignment="1">
      <alignment horizontal="center" vertical="center" wrapText="1"/>
    </xf>
    <xf numFmtId="43" fontId="14" fillId="0" borderId="6" xfId="3" applyFont="1" applyBorder="1" applyAlignment="1">
      <alignment horizontal="right" vertical="center" wrapText="1"/>
    </xf>
    <xf numFmtId="43" fontId="14" fillId="0" borderId="6" xfId="3" applyFont="1" applyBorder="1" applyAlignment="1">
      <alignment horizontal="center" vertical="center" wrapText="1"/>
    </xf>
    <xf numFmtId="14" fontId="14" fillId="0" borderId="0" xfId="16" applyNumberFormat="1" applyFont="1" applyAlignment="1">
      <alignment horizontal="center" vertical="center" wrapText="1"/>
    </xf>
    <xf numFmtId="43" fontId="14" fillId="0" borderId="0" xfId="3" applyFont="1" applyAlignment="1">
      <alignment horizontal="centerContinuous" vertical="center" wrapText="1"/>
    </xf>
    <xf numFmtId="0" fontId="14" fillId="0" borderId="7" xfId="16" applyFont="1" applyBorder="1" applyAlignment="1">
      <alignment vertical="center" wrapText="1"/>
    </xf>
    <xf numFmtId="0" fontId="14" fillId="0" borderId="8" xfId="16" applyFont="1" applyBorder="1" applyAlignment="1">
      <alignment vertical="center" wrapText="1"/>
    </xf>
    <xf numFmtId="0" fontId="14" fillId="0" borderId="14" xfId="16" applyFont="1" applyBorder="1" applyAlignment="1">
      <alignment vertical="center" wrapText="1"/>
    </xf>
    <xf numFmtId="0" fontId="14" fillId="0" borderId="9" xfId="16" applyFont="1" applyBorder="1" applyAlignment="1">
      <alignment vertical="center" wrapText="1"/>
    </xf>
    <xf numFmtId="0" fontId="14" fillId="0" borderId="10" xfId="16" applyFont="1" applyBorder="1" applyAlignment="1">
      <alignment vertical="center" wrapText="1"/>
    </xf>
    <xf numFmtId="0" fontId="14" fillId="0" borderId="15" xfId="16" applyFont="1" applyBorder="1" applyAlignment="1">
      <alignment vertical="center" wrapText="1"/>
    </xf>
    <xf numFmtId="0" fontId="14" fillId="0" borderId="7" xfId="16" applyFont="1" applyBorder="1">
      <alignment vertical="center"/>
    </xf>
    <xf numFmtId="0" fontId="14" fillId="0" borderId="20" xfId="16" applyFont="1" applyBorder="1" applyAlignment="1">
      <alignment horizontal="left" vertical="center"/>
    </xf>
    <xf numFmtId="0" fontId="14" fillId="0" borderId="19" xfId="16" applyFont="1" applyBorder="1" applyAlignment="1">
      <alignment horizontal="left" vertical="center"/>
    </xf>
    <xf numFmtId="0" fontId="14" fillId="0" borderId="0" xfId="16" applyFont="1" applyBorder="1">
      <alignment vertical="center"/>
    </xf>
    <xf numFmtId="0" fontId="14" fillId="0" borderId="19" xfId="11" applyFont="1" applyBorder="1" applyAlignment="1">
      <alignment horizontal="center" vertical="center"/>
    </xf>
    <xf numFmtId="0" fontId="14" fillId="0" borderId="0" xfId="11" applyFont="1" applyBorder="1" applyAlignment="1">
      <alignment vertical="center"/>
    </xf>
    <xf numFmtId="0" fontId="37" fillId="0" borderId="0" xfId="16" applyFont="1">
      <alignment vertical="center"/>
    </xf>
    <xf numFmtId="43" fontId="9" fillId="0" borderId="0" xfId="3" applyFont="1" applyFill="1" applyAlignment="1">
      <alignment horizontal="center" vertical="center"/>
    </xf>
    <xf numFmtId="0" fontId="40" fillId="0" borderId="6" xfId="16" applyFont="1" applyFill="1" applyBorder="1">
      <alignment vertical="center"/>
    </xf>
    <xf numFmtId="0" fontId="14" fillId="0" borderId="6" xfId="16" applyFont="1" applyFill="1" applyBorder="1">
      <alignment vertical="center"/>
    </xf>
    <xf numFmtId="43" fontId="9" fillId="0" borderId="6" xfId="3" applyFont="1" applyFill="1" applyBorder="1" applyAlignment="1">
      <alignment horizontal="center" vertical="center"/>
    </xf>
    <xf numFmtId="0" fontId="14" fillId="0" borderId="6" xfId="16" applyFont="1" applyFill="1" applyBorder="1" applyAlignment="1">
      <alignment horizontal="centerContinuous" vertical="center" wrapText="1"/>
    </xf>
    <xf numFmtId="0" fontId="14" fillId="0" borderId="6" xfId="16" applyFont="1" applyFill="1" applyBorder="1" applyAlignment="1">
      <alignment horizontal="center" vertical="center" wrapText="1"/>
    </xf>
    <xf numFmtId="0" fontId="40" fillId="0" borderId="6" xfId="16" applyFont="1" applyFill="1" applyBorder="1" applyAlignment="1">
      <alignment vertical="center" wrapText="1"/>
    </xf>
    <xf numFmtId="0" fontId="14" fillId="0" borderId="6" xfId="16" applyFont="1" applyFill="1" applyBorder="1" applyAlignment="1">
      <alignment vertical="center" wrapText="1"/>
    </xf>
    <xf numFmtId="43" fontId="9" fillId="0" borderId="6" xfId="3" applyFont="1" applyFill="1" applyBorder="1" applyAlignment="1">
      <alignment horizontal="center" vertical="center" wrapText="1"/>
    </xf>
    <xf numFmtId="0" fontId="20" fillId="0" borderId="6" xfId="16" applyFont="1" applyFill="1" applyBorder="1" applyAlignment="1">
      <alignment horizontal="center" vertical="center" wrapText="1"/>
    </xf>
    <xf numFmtId="0" fontId="41" fillId="0" borderId="0" xfId="10" applyFont="1">
      <alignment vertical="center"/>
    </xf>
    <xf numFmtId="0" fontId="42" fillId="0" borderId="0" xfId="10" applyFont="1" applyAlignment="1" applyProtection="1">
      <alignment horizontal="right" vertical="center"/>
      <protection locked="0"/>
    </xf>
    <xf numFmtId="0" fontId="16" fillId="0" borderId="0" xfId="10" applyFont="1">
      <alignment vertical="center"/>
    </xf>
    <xf numFmtId="43" fontId="16" fillId="0" borderId="0" xfId="3" applyFont="1" applyAlignment="1" applyProtection="1">
      <alignment vertical="center"/>
    </xf>
    <xf numFmtId="0" fontId="43" fillId="0" borderId="0" xfId="0" applyFont="1" applyAlignment="1">
      <alignment horizontal="left" vertical="center"/>
    </xf>
    <xf numFmtId="0" fontId="43" fillId="0" borderId="0" xfId="0" applyFont="1" applyAlignment="1">
      <alignment vertical="center"/>
    </xf>
    <xf numFmtId="0" fontId="45" fillId="0" borderId="0" xfId="10" applyFont="1" applyAlignment="1" applyProtection="1">
      <alignment horizontal="center" vertical="center"/>
      <protection locked="0"/>
    </xf>
    <xf numFmtId="43" fontId="16" fillId="0" borderId="0" xfId="3" applyFont="1" applyAlignment="1" applyProtection="1">
      <alignment vertical="center"/>
      <protection locked="0"/>
    </xf>
    <xf numFmtId="0" fontId="16" fillId="0" borderId="0" xfId="16" applyFont="1" applyAlignment="1">
      <alignment horizontal="right" vertical="center"/>
    </xf>
    <xf numFmtId="0" fontId="16" fillId="0" borderId="0" xfId="16" applyFont="1" applyBorder="1" applyAlignment="1">
      <alignment horizontal="left" vertical="center"/>
    </xf>
    <xf numFmtId="0" fontId="16" fillId="0" borderId="0" xfId="16" applyFont="1" applyBorder="1">
      <alignment vertical="center"/>
    </xf>
    <xf numFmtId="0" fontId="46" fillId="0" borderId="0" xfId="10" applyFont="1">
      <alignment vertical="center"/>
    </xf>
    <xf numFmtId="0" fontId="16" fillId="0" borderId="0" xfId="10" applyFont="1" applyAlignment="1" applyProtection="1">
      <alignment horizontal="left" vertical="center"/>
      <protection locked="0"/>
    </xf>
    <xf numFmtId="0" fontId="47" fillId="0" borderId="0" xfId="10" applyFont="1" applyAlignment="1" applyProtection="1">
      <alignment horizontal="left" vertical="center"/>
      <protection locked="0"/>
    </xf>
    <xf numFmtId="43" fontId="47" fillId="0" borderId="0" xfId="3" applyFont="1" applyAlignment="1" applyProtection="1">
      <alignment horizontal="left" vertical="center"/>
      <protection locked="0"/>
    </xf>
    <xf numFmtId="0" fontId="48" fillId="0" borderId="0" xfId="10" applyFont="1" applyProtection="1">
      <alignment vertical="center"/>
      <protection locked="0"/>
    </xf>
    <xf numFmtId="0" fontId="42" fillId="0" borderId="0" xfId="10" applyFont="1" applyAlignment="1" applyProtection="1">
      <alignment horizontal="justify" vertical="center"/>
      <protection locked="0"/>
    </xf>
    <xf numFmtId="0" fontId="16" fillId="0" borderId="0" xfId="10" applyFont="1" applyProtection="1">
      <alignment vertical="center"/>
      <protection locked="0"/>
    </xf>
    <xf numFmtId="0" fontId="42" fillId="0" borderId="6" xfId="10" applyFont="1" applyBorder="1" applyAlignment="1" applyProtection="1">
      <alignment horizontal="center" vertical="center" wrapText="1"/>
      <protection locked="0"/>
    </xf>
    <xf numFmtId="43" fontId="42" fillId="0" borderId="6" xfId="3" applyFont="1" applyBorder="1" applyAlignment="1" applyProtection="1">
      <alignment horizontal="center" vertical="center" wrapText="1"/>
      <protection locked="0"/>
    </xf>
    <xf numFmtId="180" fontId="42" fillId="0" borderId="6" xfId="10" applyNumberFormat="1" applyFont="1" applyBorder="1" applyAlignment="1" applyProtection="1">
      <alignment horizontal="center" vertical="center" wrapText="1"/>
      <protection locked="0"/>
    </xf>
    <xf numFmtId="43" fontId="42" fillId="0" borderId="6" xfId="3" applyFont="1" applyBorder="1" applyAlignment="1" applyProtection="1">
      <alignment horizontal="center" vertical="center" wrapText="1"/>
    </xf>
    <xf numFmtId="43" fontId="49" fillId="0" borderId="6" xfId="7" applyFont="1" applyBorder="1" applyAlignment="1" applyProtection="1">
      <alignment horizontal="center" vertical="center" wrapText="1"/>
      <protection locked="0"/>
    </xf>
    <xf numFmtId="43" fontId="14" fillId="0" borderId="6" xfId="3" applyFont="1" applyFill="1" applyBorder="1" applyAlignment="1" applyProtection="1">
      <alignment horizontal="right" vertical="center" wrapText="1"/>
    </xf>
    <xf numFmtId="0" fontId="42" fillId="0" borderId="0" xfId="10" applyFont="1" applyAlignment="1" applyProtection="1">
      <alignment horizontal="justify" vertical="center" wrapText="1"/>
      <protection locked="0"/>
    </xf>
    <xf numFmtId="43" fontId="42" fillId="0" borderId="0" xfId="3" applyFont="1" applyBorder="1" applyAlignment="1" applyProtection="1">
      <alignment horizontal="right" vertical="center" wrapText="1"/>
      <protection locked="0"/>
    </xf>
    <xf numFmtId="180" fontId="49" fillId="0" borderId="6" xfId="10" applyNumberFormat="1" applyFont="1" applyBorder="1" applyAlignment="1" applyProtection="1">
      <alignment horizontal="center" vertical="center" wrapText="1"/>
      <protection locked="0"/>
    </xf>
    <xf numFmtId="43" fontId="49" fillId="0" borderId="6" xfId="3" applyFont="1" applyBorder="1" applyAlignment="1" applyProtection="1">
      <alignment horizontal="center" vertical="center" wrapText="1"/>
      <protection locked="0"/>
    </xf>
    <xf numFmtId="14" fontId="42" fillId="0" borderId="6" xfId="3" applyNumberFormat="1" applyFont="1" applyBorder="1" applyAlignment="1" applyProtection="1">
      <alignment horizontal="center" vertical="center" wrapText="1"/>
    </xf>
    <xf numFmtId="0" fontId="14" fillId="0" borderId="19" xfId="10" applyFont="1" applyBorder="1" applyProtection="1">
      <alignment vertical="center"/>
      <protection locked="0"/>
    </xf>
    <xf numFmtId="0" fontId="14" fillId="0" borderId="0" xfId="10" applyFont="1" applyProtection="1">
      <alignment vertical="center"/>
      <protection locked="0"/>
    </xf>
    <xf numFmtId="43" fontId="14" fillId="0" borderId="20" xfId="3" applyFont="1" applyBorder="1" applyAlignment="1" applyProtection="1">
      <alignment vertical="center"/>
      <protection locked="0"/>
    </xf>
    <xf numFmtId="0" fontId="14" fillId="0" borderId="19" xfId="0" applyFont="1" applyBorder="1" applyAlignment="1">
      <alignment vertical="center"/>
    </xf>
    <xf numFmtId="0" fontId="14" fillId="0" borderId="20" xfId="17" applyFont="1" applyBorder="1" applyAlignment="1">
      <alignment vertical="center"/>
    </xf>
    <xf numFmtId="0" fontId="14" fillId="0" borderId="19" xfId="10" applyFont="1" applyBorder="1" applyAlignment="1" applyProtection="1">
      <alignment horizontal="justify" vertical="center" wrapText="1"/>
      <protection locked="0"/>
    </xf>
    <xf numFmtId="0" fontId="14" fillId="0" borderId="0" xfId="10" applyFont="1" applyAlignment="1" applyProtection="1">
      <alignment horizontal="justify" vertical="center" wrapText="1"/>
      <protection locked="0"/>
    </xf>
    <xf numFmtId="43" fontId="14" fillId="0" borderId="19" xfId="3" applyFont="1" applyBorder="1" applyAlignment="1" applyProtection="1">
      <alignment vertical="center"/>
      <protection locked="0"/>
    </xf>
    <xf numFmtId="0" fontId="14" fillId="0" borderId="20" xfId="10" applyFont="1" applyBorder="1" applyProtection="1">
      <alignment vertical="center"/>
      <protection locked="0"/>
    </xf>
    <xf numFmtId="0" fontId="50" fillId="0" borderId="20" xfId="1" applyFont="1" applyBorder="1" applyAlignment="1">
      <alignment horizontal="right" vertical="center" wrapText="1"/>
    </xf>
    <xf numFmtId="0" fontId="14" fillId="0" borderId="19" xfId="17" applyFont="1" applyBorder="1" applyAlignment="1">
      <alignment vertical="center"/>
    </xf>
    <xf numFmtId="0" fontId="50" fillId="0" borderId="20" xfId="1" applyFont="1" applyBorder="1" applyAlignment="1">
      <alignment horizontal="right" vertical="center"/>
    </xf>
    <xf numFmtId="0" fontId="50" fillId="0" borderId="15" xfId="1" applyFont="1" applyBorder="1" applyAlignment="1">
      <alignment horizontal="center" vertical="center" wrapText="1"/>
    </xf>
    <xf numFmtId="0" fontId="42" fillId="0" borderId="19" xfId="10" applyFont="1" applyBorder="1" applyAlignment="1" applyProtection="1">
      <alignment horizontal="justify" vertical="center" wrapText="1"/>
      <protection locked="0"/>
    </xf>
    <xf numFmtId="43" fontId="16" fillId="0" borderId="20" xfId="3" applyFont="1" applyBorder="1" applyAlignment="1" applyProtection="1">
      <alignment horizontal="center" vertical="center"/>
      <protection locked="0"/>
    </xf>
    <xf numFmtId="43" fontId="42" fillId="0" borderId="19" xfId="3" applyFont="1" applyBorder="1" applyAlignment="1" applyProtection="1">
      <alignment horizontal="justify" vertical="center" wrapText="1"/>
      <protection locked="0"/>
    </xf>
    <xf numFmtId="0" fontId="16" fillId="0" borderId="20" xfId="10" applyFont="1" applyBorder="1" applyAlignment="1" applyProtection="1">
      <alignment horizontal="center" vertical="center"/>
      <protection locked="0"/>
    </xf>
    <xf numFmtId="0" fontId="42" fillId="0" borderId="9" xfId="10" applyFont="1" applyBorder="1" applyAlignment="1" applyProtection="1">
      <alignment horizontal="justify" vertical="center"/>
      <protection locked="0"/>
    </xf>
    <xf numFmtId="0" fontId="42" fillId="0" borderId="10" xfId="10" applyFont="1" applyBorder="1" applyAlignment="1" applyProtection="1">
      <alignment horizontal="justify" vertical="center"/>
      <protection locked="0"/>
    </xf>
    <xf numFmtId="43" fontId="16" fillId="0" borderId="15" xfId="3" applyFont="1" applyBorder="1" applyAlignment="1" applyProtection="1">
      <alignment vertical="center"/>
      <protection locked="0"/>
    </xf>
    <xf numFmtId="43" fontId="16" fillId="0" borderId="9" xfId="3" applyFont="1" applyBorder="1" applyAlignment="1" applyProtection="1">
      <alignment vertical="center"/>
      <protection locked="0"/>
    </xf>
    <xf numFmtId="0" fontId="16" fillId="0" borderId="15" xfId="10" applyFont="1" applyBorder="1" applyProtection="1">
      <alignment vertical="center"/>
      <protection locked="0"/>
    </xf>
    <xf numFmtId="43" fontId="10" fillId="3" borderId="0" xfId="3" applyFont="1" applyFill="1" applyAlignment="1">
      <alignment horizontal="right" vertical="center"/>
    </xf>
    <xf numFmtId="43" fontId="9" fillId="3" borderId="17" xfId="3" applyFont="1" applyFill="1" applyBorder="1" applyAlignment="1">
      <alignment horizontal="center" vertical="center"/>
    </xf>
    <xf numFmtId="43" fontId="9" fillId="3" borderId="16" xfId="3" applyFont="1" applyFill="1" applyBorder="1" applyAlignment="1">
      <alignment horizontal="center" vertical="center"/>
    </xf>
    <xf numFmtId="43" fontId="9" fillId="0" borderId="17" xfId="3" applyFont="1" applyFill="1" applyBorder="1" applyAlignment="1">
      <alignment horizontal="center" vertical="center"/>
    </xf>
    <xf numFmtId="43" fontId="42" fillId="0" borderId="6" xfId="3" applyFont="1" applyBorder="1" applyAlignment="1" applyProtection="1">
      <alignment horizontal="center" vertical="center"/>
      <protection locked="0"/>
    </xf>
    <xf numFmtId="0" fontId="42" fillId="0" borderId="6" xfId="10" applyFont="1" applyBorder="1" applyAlignment="1" applyProtection="1">
      <alignment horizontal="center" vertical="center"/>
      <protection locked="0"/>
    </xf>
    <xf numFmtId="0" fontId="51" fillId="0" borderId="0" xfId="16" applyFont="1">
      <alignment vertical="center"/>
    </xf>
    <xf numFmtId="0" fontId="52" fillId="0" borderId="0" xfId="16" applyFont="1" applyAlignment="1">
      <alignment horizontal="centerContinuous" vertical="center"/>
    </xf>
    <xf numFmtId="0" fontId="53" fillId="0" borderId="0" xfId="16" applyFont="1">
      <alignment vertical="center"/>
    </xf>
    <xf numFmtId="0" fontId="28" fillId="0" borderId="0" xfId="16" applyFont="1" applyAlignment="1">
      <alignment horizontal="right" vertical="center"/>
    </xf>
    <xf numFmtId="0" fontId="17" fillId="0" borderId="0" xfId="16" applyFont="1" applyAlignment="1">
      <alignment horizontal="centerContinuous"/>
    </xf>
    <xf numFmtId="0" fontId="48" fillId="0" borderId="0" xfId="16" applyFont="1" applyAlignment="1">
      <alignment horizontal="centerContinuous"/>
    </xf>
    <xf numFmtId="0" fontId="16" fillId="0" borderId="0" xfId="16" applyFont="1" applyAlignment="1">
      <alignment horizontal="centerContinuous"/>
    </xf>
    <xf numFmtId="0" fontId="48" fillId="0" borderId="0" xfId="16" applyFont="1" applyAlignment="1">
      <alignment horizontal="center" vertical="center"/>
    </xf>
    <xf numFmtId="0" fontId="48" fillId="0" borderId="10" xfId="16" applyFont="1" applyBorder="1" applyAlignment="1">
      <alignment horizontal="center" vertical="center"/>
    </xf>
    <xf numFmtId="0" fontId="16" fillId="0" borderId="10" xfId="16" applyFont="1" applyBorder="1">
      <alignment vertical="center"/>
    </xf>
    <xf numFmtId="0" fontId="16" fillId="0" borderId="0" xfId="16" applyFont="1" applyAlignment="1">
      <alignment horizontal="left" vertical="center"/>
    </xf>
    <xf numFmtId="0" fontId="16" fillId="0" borderId="0" xfId="16" applyFont="1" applyAlignment="1">
      <alignment horizontal="centerContinuous" vertical="center"/>
    </xf>
    <xf numFmtId="0" fontId="16" fillId="0" borderId="0" xfId="16" applyFont="1" applyAlignment="1">
      <alignment horizontal="center" vertical="center"/>
    </xf>
    <xf numFmtId="0" fontId="16" fillId="0" borderId="6" xfId="16" applyFont="1" applyBorder="1" applyAlignment="1">
      <alignment horizontal="center" vertical="center" wrapText="1"/>
    </xf>
    <xf numFmtId="49" fontId="54" fillId="0" borderId="6" xfId="0" applyNumberFormat="1" applyFont="1" applyBorder="1" applyAlignment="1">
      <alignment horizontal="left" vertical="center"/>
    </xf>
    <xf numFmtId="0" fontId="51" fillId="0" borderId="6" xfId="16" applyFont="1" applyBorder="1" applyAlignment="1">
      <alignment horizontal="center" vertical="center" wrapText="1"/>
    </xf>
    <xf numFmtId="43" fontId="51" fillId="0" borderId="6" xfId="3" applyFont="1" applyBorder="1" applyAlignment="1">
      <alignment vertical="center" wrapText="1"/>
    </xf>
    <xf numFmtId="0" fontId="51" fillId="0" borderId="6" xfId="0" applyFont="1" applyBorder="1" applyAlignment="1" applyProtection="1">
      <alignment horizontal="left" vertical="center" wrapText="1"/>
      <protection locked="0"/>
    </xf>
    <xf numFmtId="179" fontId="16" fillId="0" borderId="6" xfId="16" applyNumberFormat="1" applyFont="1" applyBorder="1">
      <alignment vertical="center"/>
    </xf>
    <xf numFmtId="43" fontId="16" fillId="0" borderId="6" xfId="21" applyFont="1" applyBorder="1">
      <alignment vertical="center"/>
    </xf>
    <xf numFmtId="43" fontId="16" fillId="0" borderId="6" xfId="21" applyFont="1" applyBorder="1" applyAlignment="1">
      <alignment horizontal="center" vertical="center"/>
    </xf>
    <xf numFmtId="14" fontId="16" fillId="0" borderId="0" xfId="16" applyNumberFormat="1" applyFont="1" applyAlignment="1">
      <alignment horizontal="center" vertical="center"/>
    </xf>
    <xf numFmtId="43" fontId="16" fillId="0" borderId="0" xfId="21" applyFont="1" applyAlignment="1">
      <alignment horizontal="right" vertical="center"/>
    </xf>
    <xf numFmtId="43" fontId="16" fillId="0" borderId="0" xfId="21" applyFont="1" applyAlignment="1">
      <alignment horizontal="center" vertical="center"/>
    </xf>
    <xf numFmtId="43" fontId="16" fillId="0" borderId="0" xfId="21" applyFont="1" applyAlignment="1">
      <alignment horizontal="centerContinuous" vertical="center"/>
    </xf>
    <xf numFmtId="43" fontId="25" fillId="0" borderId="6" xfId="3" applyFont="1" applyBorder="1" applyAlignment="1">
      <alignment horizontal="center" vertical="center" wrapText="1"/>
    </xf>
    <xf numFmtId="43" fontId="51" fillId="0" borderId="6" xfId="23" applyFont="1" applyBorder="1" applyAlignment="1" applyProtection="1">
      <alignment horizontal="center" vertical="center" wrapText="1"/>
      <protection locked="0"/>
    </xf>
    <xf numFmtId="179" fontId="16" fillId="0" borderId="0" xfId="16" applyNumberFormat="1" applyFont="1" applyAlignment="1">
      <alignment horizontal="center" vertical="center"/>
    </xf>
    <xf numFmtId="184" fontId="16" fillId="0" borderId="0" xfId="16" applyNumberFormat="1" applyFont="1" applyAlignment="1">
      <alignment horizontal="right" vertical="center"/>
    </xf>
    <xf numFmtId="0" fontId="21" fillId="0" borderId="0" xfId="0" applyFont="1" applyAlignment="1">
      <alignment horizontal="justify" vertical="center"/>
    </xf>
    <xf numFmtId="31" fontId="16" fillId="0" borderId="0" xfId="16" applyNumberFormat="1" applyFont="1" applyAlignment="1">
      <alignment horizontal="center" vertical="center"/>
    </xf>
    <xf numFmtId="31" fontId="16" fillId="0" borderId="0" xfId="16" applyNumberFormat="1" applyFont="1" applyAlignment="1">
      <alignment horizontal="right" vertical="center"/>
    </xf>
    <xf numFmtId="0" fontId="56" fillId="0" borderId="10" xfId="0" applyFont="1" applyBorder="1" applyAlignment="1">
      <alignment horizontal="justify" vertical="center"/>
    </xf>
    <xf numFmtId="0" fontId="23" fillId="0" borderId="10" xfId="0" applyFont="1" applyBorder="1" applyAlignment="1">
      <alignment vertical="center"/>
    </xf>
    <xf numFmtId="0" fontId="56" fillId="0" borderId="0" xfId="0" applyFont="1" applyAlignment="1">
      <alignment horizontal="right" vertical="center"/>
    </xf>
    <xf numFmtId="0" fontId="56" fillId="0" borderId="0" xfId="0" applyFont="1" applyAlignment="1">
      <alignment horizontal="justify" vertical="center"/>
    </xf>
    <xf numFmtId="0" fontId="23" fillId="0" borderId="0" xfId="0" applyFont="1" applyAlignment="1">
      <alignment vertical="center"/>
    </xf>
    <xf numFmtId="0" fontId="23" fillId="0" borderId="0" xfId="0" applyFont="1" applyAlignment="1">
      <alignment horizontal="right" vertical="center"/>
    </xf>
    <xf numFmtId="0" fontId="16" fillId="0" borderId="6" xfId="16" applyFont="1" applyFill="1" applyBorder="1" applyAlignment="1">
      <alignment horizontal="center" vertical="center" wrapText="1"/>
    </xf>
    <xf numFmtId="0" fontId="0" fillId="0" borderId="0" xfId="0" applyAlignment="1">
      <alignment wrapText="1"/>
    </xf>
    <xf numFmtId="0" fontId="57" fillId="0" borderId="0" xfId="0" applyFont="1" applyAlignment="1">
      <alignment vertical="center"/>
    </xf>
    <xf numFmtId="0" fontId="58" fillId="0" borderId="0" xfId="0" applyFont="1" applyAlignment="1">
      <alignment vertical="center"/>
    </xf>
    <xf numFmtId="0" fontId="0" fillId="0" borderId="0" xfId="0" applyAlignment="1">
      <alignment horizontal="left" vertical="top"/>
    </xf>
    <xf numFmtId="0" fontId="0" fillId="0" borderId="0" xfId="0" applyAlignment="1">
      <alignment horizontal="left"/>
    </xf>
    <xf numFmtId="0" fontId="1" fillId="0" borderId="0" xfId="0" applyFont="1" applyAlignment="1">
      <alignment horizontal="left" vertical="top"/>
    </xf>
    <xf numFmtId="0" fontId="1" fillId="0" borderId="0" xfId="0" applyFont="1" applyAlignment="1">
      <alignment horizontal="left"/>
    </xf>
    <xf numFmtId="0" fontId="59" fillId="0" borderId="0" xfId="0" applyFont="1" applyAlignment="1">
      <alignment vertical="center"/>
    </xf>
    <xf numFmtId="0" fontId="60" fillId="0" borderId="0" xfId="0" applyFont="1" applyAlignment="1">
      <alignment vertical="center"/>
    </xf>
    <xf numFmtId="0" fontId="61" fillId="0" borderId="0" xfId="0" applyFont="1" applyAlignment="1">
      <alignment vertical="center"/>
    </xf>
    <xf numFmtId="0" fontId="59" fillId="0" borderId="0" xfId="0" applyFont="1" applyAlignment="1">
      <alignment horizontal="center" vertical="center" wrapText="1"/>
    </xf>
    <xf numFmtId="0" fontId="0" fillId="0" borderId="6" xfId="0" applyBorder="1" applyAlignment="1">
      <alignment wrapText="1"/>
    </xf>
    <xf numFmtId="0" fontId="59" fillId="0" borderId="6" xfId="0" applyFont="1" applyBorder="1" applyAlignment="1">
      <alignment vertical="center" wrapText="1"/>
    </xf>
    <xf numFmtId="0" fontId="59" fillId="0" borderId="6" xfId="0" applyFont="1" applyBorder="1" applyAlignment="1">
      <alignment horizontal="left" vertical="center" wrapText="1"/>
    </xf>
    <xf numFmtId="0" fontId="62" fillId="0" borderId="0" xfId="0" applyFont="1"/>
    <xf numFmtId="0" fontId="63" fillId="0" borderId="0" xfId="0" applyFont="1"/>
    <xf numFmtId="0" fontId="0" fillId="0" borderId="6" xfId="0" applyBorder="1"/>
    <xf numFmtId="0" fontId="59" fillId="0" borderId="6" xfId="0" applyFont="1" applyBorder="1" applyAlignment="1">
      <alignment wrapText="1"/>
    </xf>
    <xf numFmtId="0" fontId="59" fillId="0" borderId="0" xfId="0" applyFont="1" applyAlignment="1">
      <alignment horizontal="justify" vertical="center"/>
    </xf>
    <xf numFmtId="0" fontId="59" fillId="0" borderId="6" xfId="0" applyFont="1" applyBorder="1" applyAlignment="1">
      <alignment horizontal="left" vertical="center"/>
    </xf>
    <xf numFmtId="0" fontId="62" fillId="0" borderId="21" xfId="0" applyFont="1" applyBorder="1" applyAlignment="1">
      <alignment vertical="center"/>
    </xf>
    <xf numFmtId="0" fontId="59" fillId="0" borderId="3" xfId="0" applyFont="1" applyBorder="1" applyAlignment="1">
      <alignment vertical="center" wrapText="1"/>
    </xf>
    <xf numFmtId="0" fontId="59" fillId="0" borderId="0" xfId="0" applyFont="1" applyAlignment="1">
      <alignment vertical="center" wrapText="1"/>
    </xf>
    <xf numFmtId="0" fontId="59" fillId="0" borderId="12" xfId="0" applyFont="1" applyBorder="1" applyAlignment="1">
      <alignment vertical="center" wrapText="1"/>
    </xf>
    <xf numFmtId="0" fontId="13" fillId="0" borderId="0" xfId="16" applyFont="1" applyAlignment="1">
      <alignment vertical="center" wrapText="1"/>
    </xf>
    <xf numFmtId="0" fontId="6" fillId="0" borderId="0" xfId="16" applyFont="1">
      <alignment vertical="center"/>
    </xf>
    <xf numFmtId="0" fontId="6" fillId="0" borderId="0" xfId="16" applyFont="1" applyAlignment="1">
      <alignment horizontal="center" vertical="center"/>
    </xf>
    <xf numFmtId="0" fontId="39" fillId="0" borderId="0" xfId="16" applyFont="1">
      <alignment vertical="center"/>
    </xf>
    <xf numFmtId="0" fontId="65" fillId="0" borderId="0" xfId="16" applyFont="1">
      <alignment vertical="center"/>
    </xf>
    <xf numFmtId="0" fontId="66" fillId="0" borderId="0" xfId="16" applyFont="1" applyAlignment="1">
      <alignment horizontal="left" vertical="top"/>
    </xf>
    <xf numFmtId="0" fontId="38" fillId="0" borderId="0" xfId="10" applyFont="1" applyAlignment="1" applyProtection="1">
      <alignment horizontal="left" vertical="center"/>
      <protection locked="0"/>
    </xf>
    <xf numFmtId="0" fontId="13" fillId="0" borderId="0" xfId="10" applyFont="1" applyAlignment="1" applyProtection="1">
      <alignment horizontal="left" vertical="center"/>
      <protection locked="0"/>
    </xf>
    <xf numFmtId="43" fontId="13" fillId="0" borderId="0" xfId="3" applyFont="1" applyAlignment="1" applyProtection="1">
      <alignment horizontal="left" vertical="center"/>
      <protection locked="0"/>
    </xf>
    <xf numFmtId="43" fontId="13" fillId="0" borderId="0" xfId="3" applyFont="1" applyAlignment="1" applyProtection="1">
      <alignment vertical="center"/>
    </xf>
    <xf numFmtId="0" fontId="49" fillId="0" borderId="6" xfId="16" applyFont="1" applyBorder="1" applyAlignment="1">
      <alignment horizontal="center" vertical="center" wrapText="1"/>
    </xf>
    <xf numFmtId="0" fontId="67" fillId="0" borderId="6" xfId="16" applyFont="1" applyBorder="1" applyAlignment="1">
      <alignment horizontal="center" vertical="center" wrapText="1"/>
    </xf>
    <xf numFmtId="43" fontId="49" fillId="0" borderId="6" xfId="3" applyFont="1" applyBorder="1" applyAlignment="1">
      <alignment horizontal="center" vertical="center" wrapText="1"/>
    </xf>
    <xf numFmtId="43" fontId="67" fillId="0" borderId="6" xfId="3" applyFont="1" applyBorder="1" applyAlignment="1">
      <alignment horizontal="center" vertical="center" wrapText="1"/>
    </xf>
    <xf numFmtId="0" fontId="13" fillId="0" borderId="6" xfId="16" applyFont="1" applyBorder="1">
      <alignment vertical="center"/>
    </xf>
    <xf numFmtId="43" fontId="13" fillId="0" borderId="6" xfId="3" applyFont="1" applyBorder="1" applyAlignment="1">
      <alignment horizontal="center" vertical="center"/>
    </xf>
    <xf numFmtId="0" fontId="13" fillId="0" borderId="6" xfId="16" applyFont="1" applyBorder="1" applyAlignment="1">
      <alignment horizontal="center" vertical="center" wrapText="1"/>
    </xf>
    <xf numFmtId="177" fontId="13" fillId="0" borderId="0" xfId="16" applyNumberFormat="1" applyFont="1" applyAlignment="1" applyProtection="1">
      <alignment horizontal="right" vertical="center"/>
      <protection locked="0"/>
    </xf>
    <xf numFmtId="43" fontId="42" fillId="0" borderId="0" xfId="3" applyFont="1" applyBorder="1" applyAlignment="1" applyProtection="1">
      <alignment horizontal="center" vertical="center" wrapText="1"/>
    </xf>
    <xf numFmtId="43" fontId="49" fillId="6" borderId="22" xfId="3" applyFont="1" applyFill="1" applyBorder="1" applyAlignment="1" applyProtection="1">
      <alignment horizontal="center" vertical="center" wrapText="1"/>
      <protection locked="0"/>
    </xf>
    <xf numFmtId="0" fontId="23" fillId="0" borderId="0" xfId="0" applyFont="1"/>
    <xf numFmtId="0" fontId="49" fillId="0" borderId="0" xfId="10" applyFont="1" applyAlignment="1" applyProtection="1">
      <alignment horizontal="left" vertical="center"/>
      <protection locked="0"/>
    </xf>
    <xf numFmtId="43" fontId="49" fillId="0" borderId="0" xfId="3" applyFont="1" applyBorder="1" applyAlignment="1" applyProtection="1">
      <alignment horizontal="right" vertical="center"/>
      <protection locked="0"/>
    </xf>
    <xf numFmtId="43" fontId="49" fillId="0" borderId="0" xfId="3" applyFont="1" applyBorder="1" applyAlignment="1" applyProtection="1">
      <alignment horizontal="justify" vertical="center"/>
      <protection locked="0"/>
    </xf>
    <xf numFmtId="43" fontId="49" fillId="0" borderId="0" xfId="3" applyFont="1" applyAlignment="1" applyProtection="1">
      <alignment vertical="center"/>
    </xf>
    <xf numFmtId="0" fontId="49" fillId="0" borderId="0" xfId="10" applyFont="1">
      <alignment vertical="center"/>
    </xf>
    <xf numFmtId="179" fontId="13" fillId="0" borderId="0" xfId="16" applyNumberFormat="1" applyFont="1" applyAlignment="1">
      <alignment horizontal="center" vertical="center"/>
    </xf>
    <xf numFmtId="43" fontId="13" fillId="0" borderId="0" xfId="3" applyFont="1" applyAlignment="1">
      <alignment horizontal="left" vertical="center"/>
    </xf>
    <xf numFmtId="43" fontId="13" fillId="0" borderId="0" xfId="3" applyFont="1" applyAlignment="1">
      <alignment horizontal="center" vertical="center"/>
    </xf>
    <xf numFmtId="14" fontId="13" fillId="0" borderId="0" xfId="16" applyNumberFormat="1" applyFont="1" applyProtection="1">
      <alignment vertical="center"/>
      <protection locked="0"/>
    </xf>
    <xf numFmtId="182" fontId="13" fillId="0" borderId="0" xfId="16" applyNumberFormat="1" applyFont="1" applyAlignment="1" applyProtection="1">
      <alignment horizontal="right" vertical="center"/>
      <protection locked="0"/>
    </xf>
    <xf numFmtId="0" fontId="49" fillId="0" borderId="0" xfId="16" applyFont="1" applyAlignment="1">
      <alignment horizontal="left" vertical="center"/>
    </xf>
    <xf numFmtId="0" fontId="13" fillId="0" borderId="7" xfId="10" applyFont="1" applyBorder="1" applyAlignment="1" applyProtection="1">
      <alignment wrapText="1"/>
      <protection locked="0"/>
    </xf>
    <xf numFmtId="0" fontId="13" fillId="0" borderId="8" xfId="10" applyFont="1" applyBorder="1" applyAlignment="1" applyProtection="1">
      <alignment wrapText="1"/>
      <protection locked="0"/>
    </xf>
    <xf numFmtId="0" fontId="13" fillId="0" borderId="8" xfId="16" applyFont="1" applyBorder="1">
      <alignment vertical="center"/>
    </xf>
    <xf numFmtId="0" fontId="13" fillId="0" borderId="19" xfId="16" applyFont="1" applyBorder="1">
      <alignment vertical="center"/>
    </xf>
    <xf numFmtId="0" fontId="13" fillId="0" borderId="20" xfId="16" applyFont="1" applyBorder="1">
      <alignment vertical="center"/>
    </xf>
    <xf numFmtId="0" fontId="13" fillId="0" borderId="0" xfId="11" applyFont="1" applyAlignment="1">
      <alignment horizontal="center" vertical="center"/>
    </xf>
    <xf numFmtId="0" fontId="13" fillId="0" borderId="19" xfId="11" applyFont="1" applyBorder="1" applyAlignment="1">
      <alignment horizontal="right" vertical="center"/>
    </xf>
    <xf numFmtId="0" fontId="13" fillId="0" borderId="9" xfId="16" applyFont="1" applyBorder="1">
      <alignment vertical="center"/>
    </xf>
    <xf numFmtId="0" fontId="13" fillId="0" borderId="10" xfId="16" applyFont="1" applyBorder="1">
      <alignment vertical="center"/>
    </xf>
    <xf numFmtId="0" fontId="13" fillId="0" borderId="15" xfId="16" applyFont="1" applyBorder="1">
      <alignment vertical="center"/>
    </xf>
    <xf numFmtId="0" fontId="19" fillId="0" borderId="0" xfId="4" applyFill="1" applyAlignment="1">
      <alignment vertical="center"/>
    </xf>
    <xf numFmtId="43" fontId="9" fillId="0" borderId="0" xfId="3" applyFont="1" applyFill="1" applyAlignment="1">
      <alignment horizontal="left" vertical="center"/>
    </xf>
    <xf numFmtId="43" fontId="9" fillId="0" borderId="10" xfId="3" applyFont="1" applyFill="1" applyBorder="1" applyAlignment="1">
      <alignment horizontal="center" vertical="center"/>
    </xf>
    <xf numFmtId="43" fontId="8" fillId="0" borderId="6" xfId="3" applyFont="1" applyFill="1" applyBorder="1" applyAlignment="1">
      <alignment horizontal="center" vertical="center"/>
    </xf>
    <xf numFmtId="43" fontId="25" fillId="0" borderId="6" xfId="3" applyFont="1" applyBorder="1" applyAlignment="1" applyProtection="1">
      <alignment horizontal="center" vertical="center" wrapText="1"/>
      <protection locked="0"/>
    </xf>
    <xf numFmtId="0" fontId="25" fillId="0" borderId="6" xfId="10" applyBorder="1" applyAlignment="1" applyProtection="1">
      <alignment horizontal="left" vertical="center" wrapText="1"/>
      <protection locked="0"/>
    </xf>
    <xf numFmtId="0" fontId="25" fillId="0" borderId="6" xfId="10" applyBorder="1" applyAlignment="1">
      <alignment horizontal="left" vertical="center" wrapText="1"/>
    </xf>
    <xf numFmtId="0" fontId="25" fillId="0" borderId="6" xfId="10" applyBorder="1" applyAlignment="1">
      <alignment horizontal="center" vertical="center" wrapText="1"/>
    </xf>
    <xf numFmtId="43" fontId="10" fillId="3" borderId="0" xfId="3" applyFont="1" applyFill="1" applyAlignment="1">
      <alignment horizontal="center" vertical="center" wrapText="1"/>
    </xf>
    <xf numFmtId="0" fontId="68" fillId="0" borderId="0" xfId="16" applyFont="1">
      <alignment vertical="center"/>
    </xf>
    <xf numFmtId="0" fontId="4" fillId="0" borderId="0" xfId="16" applyFont="1">
      <alignment vertical="center"/>
    </xf>
    <xf numFmtId="0" fontId="11" fillId="0" borderId="0" xfId="16" applyFont="1" applyAlignment="1">
      <alignment horizontal="right" vertical="center"/>
    </xf>
    <xf numFmtId="183" fontId="20" fillId="0" borderId="0" xfId="16" applyNumberFormat="1" applyFont="1" applyAlignment="1">
      <alignment horizontal="center" vertical="center"/>
    </xf>
    <xf numFmtId="0" fontId="13" fillId="0" borderId="10" xfId="16" applyFont="1" applyBorder="1" applyAlignment="1">
      <alignment horizontal="center" vertical="center"/>
    </xf>
    <xf numFmtId="0" fontId="37" fillId="0" borderId="0" xfId="16" applyFont="1" applyAlignment="1">
      <alignment horizontal="left" vertical="center"/>
    </xf>
    <xf numFmtId="0" fontId="13" fillId="0" borderId="0" xfId="16" applyFont="1" applyAlignment="1">
      <alignment horizontal="left" vertical="distributed" wrapText="1"/>
    </xf>
    <xf numFmtId="43" fontId="11" fillId="0" borderId="6" xfId="3" applyFont="1" applyBorder="1" applyAlignment="1">
      <alignment horizontal="center" vertical="center"/>
    </xf>
    <xf numFmtId="0" fontId="11" fillId="0" borderId="6" xfId="16" applyFont="1" applyBorder="1">
      <alignment vertical="center"/>
    </xf>
    <xf numFmtId="0" fontId="37" fillId="0" borderId="6" xfId="16" applyFont="1" applyBorder="1" applyAlignment="1">
      <alignment horizontal="center" vertical="center"/>
    </xf>
    <xf numFmtId="0" fontId="38" fillId="0" borderId="0" xfId="16" applyFont="1" applyAlignment="1">
      <alignment horizontal="right" vertical="center"/>
    </xf>
    <xf numFmtId="0" fontId="13" fillId="0" borderId="7" xfId="16" applyFont="1" applyBorder="1">
      <alignment vertical="center"/>
    </xf>
    <xf numFmtId="0" fontId="13" fillId="0" borderId="14" xfId="16" applyFont="1" applyBorder="1">
      <alignment vertical="center"/>
    </xf>
    <xf numFmtId="0" fontId="13" fillId="0" borderId="0" xfId="16" applyFont="1" applyBorder="1">
      <alignment vertical="center"/>
    </xf>
    <xf numFmtId="0" fontId="13" fillId="0" borderId="0" xfId="11" applyFont="1" applyBorder="1" applyAlignment="1">
      <alignment horizontal="right" vertical="center"/>
    </xf>
    <xf numFmtId="43" fontId="9" fillId="0" borderId="0" xfId="3" applyFont="1" applyFill="1" applyAlignment="1">
      <alignment horizontal="right" vertical="center"/>
    </xf>
    <xf numFmtId="43" fontId="11" fillId="0" borderId="6" xfId="3" applyFont="1" applyFill="1" applyBorder="1" applyAlignment="1">
      <alignment horizontal="center" vertical="center"/>
    </xf>
    <xf numFmtId="0" fontId="11" fillId="0" borderId="6" xfId="16" applyFont="1" applyBorder="1" applyAlignment="1">
      <alignment vertical="center"/>
    </xf>
    <xf numFmtId="179" fontId="37" fillId="0" borderId="0" xfId="16" applyNumberFormat="1" applyFont="1" applyAlignment="1">
      <alignment horizontal="center" vertical="center"/>
    </xf>
    <xf numFmtId="0" fontId="11" fillId="0" borderId="0" xfId="16" applyFont="1" applyAlignment="1">
      <alignment horizontal="center" vertical="center"/>
    </xf>
    <xf numFmtId="0" fontId="13" fillId="0" borderId="0" xfId="11" applyFont="1" applyAlignment="1">
      <alignment vertical="center"/>
    </xf>
    <xf numFmtId="0" fontId="13" fillId="0" borderId="0" xfId="11" applyFont="1" applyAlignment="1">
      <alignment horizontal="right" vertical="center"/>
    </xf>
    <xf numFmtId="0" fontId="69" fillId="0" borderId="0" xfId="0" applyFont="1" applyAlignment="1">
      <alignment vertical="center"/>
    </xf>
    <xf numFmtId="0" fontId="68" fillId="0" borderId="0" xfId="0" applyFont="1" applyAlignment="1">
      <alignment vertical="center"/>
    </xf>
    <xf numFmtId="0" fontId="20" fillId="0" borderId="0" xfId="0" applyFont="1" applyAlignment="1">
      <alignment vertical="center"/>
    </xf>
    <xf numFmtId="43" fontId="20" fillId="0" borderId="0" xfId="3" applyFont="1" applyFill="1" applyBorder="1" applyAlignment="1">
      <alignment horizontal="left" vertical="center"/>
    </xf>
    <xf numFmtId="43" fontId="20" fillId="0" borderId="0" xfId="3" applyFont="1" applyAlignment="1">
      <alignment vertical="center"/>
    </xf>
    <xf numFmtId="0" fontId="11" fillId="0" borderId="0" xfId="0" applyFont="1" applyAlignment="1">
      <alignment vertical="center"/>
    </xf>
    <xf numFmtId="0" fontId="11" fillId="0" borderId="6" xfId="0" applyFont="1" applyBorder="1" applyAlignment="1">
      <alignment horizontal="center" vertical="center" wrapText="1"/>
    </xf>
    <xf numFmtId="0" fontId="11" fillId="0" borderId="6" xfId="0" applyFont="1" applyBorder="1" applyAlignment="1">
      <alignment vertical="center" wrapText="1"/>
    </xf>
    <xf numFmtId="0" fontId="13" fillId="0" borderId="6" xfId="0" applyFont="1" applyBorder="1" applyAlignment="1">
      <alignment vertical="center" wrapText="1"/>
    </xf>
    <xf numFmtId="0" fontId="11" fillId="0" borderId="0" xfId="0" applyFont="1" applyAlignment="1">
      <alignment horizontal="left" vertical="center" wrapText="1"/>
    </xf>
    <xf numFmtId="0" fontId="20" fillId="0" borderId="0" xfId="0" applyFont="1" applyAlignment="1">
      <alignment horizontal="right" vertical="center"/>
    </xf>
    <xf numFmtId="0" fontId="13" fillId="0" borderId="0" xfId="0" applyFont="1" applyAlignment="1">
      <alignment vertical="center"/>
    </xf>
    <xf numFmtId="49" fontId="13" fillId="0" borderId="0" xfId="0" applyNumberFormat="1" applyFont="1" applyAlignment="1">
      <alignment horizontal="left" vertical="center"/>
    </xf>
    <xf numFmtId="0" fontId="21" fillId="0" borderId="0" xfId="16" applyFont="1" applyAlignment="1">
      <alignment vertical="center"/>
    </xf>
    <xf numFmtId="0" fontId="33" fillId="0" borderId="0" xfId="16" applyFont="1" applyAlignment="1">
      <alignment vertical="center"/>
    </xf>
    <xf numFmtId="0" fontId="33" fillId="0" borderId="0" xfId="16" applyFont="1" applyAlignment="1">
      <alignment horizontal="left" vertical="center"/>
    </xf>
    <xf numFmtId="0" fontId="34" fillId="0" borderId="0" xfId="16" applyFont="1" applyAlignment="1">
      <alignment horizontal="center" vertical="center"/>
    </xf>
    <xf numFmtId="0" fontId="33" fillId="0" borderId="0" xfId="16" applyFont="1" applyAlignment="1">
      <alignment horizontal="center" vertical="center"/>
    </xf>
    <xf numFmtId="0" fontId="11" fillId="0" borderId="6" xfId="0" applyFont="1" applyBorder="1" applyAlignment="1">
      <alignment vertical="center"/>
    </xf>
    <xf numFmtId="0" fontId="11" fillId="0" borderId="6" xfId="0" applyFont="1" applyBorder="1" applyAlignment="1">
      <alignment horizontal="center" vertical="center"/>
    </xf>
    <xf numFmtId="0" fontId="69" fillId="0" borderId="0" xfId="0" applyFont="1" applyAlignment="1">
      <alignment horizontal="left" vertical="center"/>
    </xf>
    <xf numFmtId="180" fontId="69" fillId="0" borderId="0" xfId="0" applyNumberFormat="1" applyFont="1" applyAlignment="1">
      <alignment vertical="center"/>
    </xf>
    <xf numFmtId="180" fontId="13" fillId="0" borderId="6" xfId="0" applyNumberFormat="1" applyFont="1" applyBorder="1" applyAlignment="1">
      <alignment vertical="center" wrapText="1"/>
    </xf>
    <xf numFmtId="0" fontId="34" fillId="0" borderId="0" xfId="16" applyFont="1" applyAlignment="1">
      <alignment vertical="center"/>
    </xf>
    <xf numFmtId="0" fontId="34" fillId="0" borderId="0" xfId="16" applyFont="1" applyAlignment="1">
      <alignment horizontal="left" vertical="center"/>
    </xf>
    <xf numFmtId="0" fontId="69" fillId="0" borderId="0" xfId="0" applyFont="1" applyAlignment="1">
      <alignment vertical="center" wrapText="1"/>
    </xf>
    <xf numFmtId="179" fontId="11" fillId="0" borderId="0" xfId="0" applyNumberFormat="1" applyFont="1" applyAlignment="1">
      <alignment vertical="center"/>
    </xf>
    <xf numFmtId="0" fontId="69" fillId="0" borderId="10" xfId="0" applyFont="1" applyBorder="1" applyAlignment="1">
      <alignment vertical="center"/>
    </xf>
    <xf numFmtId="0" fontId="11" fillId="0" borderId="7" xfId="0" applyFont="1" applyBorder="1" applyAlignment="1">
      <alignment vertical="center"/>
    </xf>
    <xf numFmtId="0" fontId="11" fillId="0" borderId="8" xfId="0" applyFont="1" applyBorder="1" applyAlignment="1">
      <alignment vertical="center"/>
    </xf>
    <xf numFmtId="0" fontId="11" fillId="0" borderId="8" xfId="0" applyFont="1" applyBorder="1" applyAlignment="1">
      <alignment vertical="center" wrapText="1"/>
    </xf>
    <xf numFmtId="0" fontId="11" fillId="0" borderId="19" xfId="0" applyFont="1" applyBorder="1" applyAlignment="1">
      <alignment vertical="center"/>
    </xf>
    <xf numFmtId="0" fontId="11" fillId="0" borderId="0" xfId="0" applyFont="1" applyAlignment="1">
      <alignment vertical="center" wrapText="1"/>
    </xf>
    <xf numFmtId="0" fontId="69" fillId="0" borderId="19" xfId="0" applyFont="1" applyBorder="1" applyAlignment="1">
      <alignment vertical="center"/>
    </xf>
    <xf numFmtId="0" fontId="11" fillId="0" borderId="0" xfId="0" applyFont="1" applyAlignment="1">
      <alignment horizontal="justify" vertical="center"/>
    </xf>
    <xf numFmtId="0" fontId="11" fillId="0" borderId="0" xfId="0" applyFont="1" applyAlignment="1">
      <alignment horizontal="center" vertical="center"/>
    </xf>
    <xf numFmtId="0" fontId="11" fillId="0" borderId="9" xfId="0" applyFont="1" applyBorder="1" applyAlignment="1">
      <alignment vertical="center"/>
    </xf>
    <xf numFmtId="0" fontId="11" fillId="0" borderId="10" xfId="0" applyFont="1" applyBorder="1" applyAlignment="1">
      <alignment vertical="center"/>
    </xf>
    <xf numFmtId="0" fontId="11" fillId="0" borderId="14" xfId="0" applyFont="1" applyBorder="1" applyAlignment="1">
      <alignment vertical="center" wrapText="1"/>
    </xf>
    <xf numFmtId="0" fontId="11" fillId="0" borderId="20" xfId="0" applyFont="1" applyBorder="1" applyAlignment="1">
      <alignment vertical="center" wrapText="1"/>
    </xf>
    <xf numFmtId="0" fontId="69" fillId="0" borderId="20" xfId="0" applyFont="1" applyBorder="1" applyAlignment="1">
      <alignment vertical="center"/>
    </xf>
    <xf numFmtId="0" fontId="11" fillId="0" borderId="20" xfId="0" applyFont="1" applyBorder="1" applyAlignment="1">
      <alignment vertical="center"/>
    </xf>
    <xf numFmtId="0" fontId="11" fillId="0" borderId="10" xfId="0" applyFont="1" applyBorder="1" applyAlignment="1">
      <alignment horizontal="right" vertical="center"/>
    </xf>
    <xf numFmtId="0" fontId="11" fillId="0" borderId="15" xfId="0" applyFont="1" applyBorder="1" applyAlignment="1">
      <alignment vertical="center"/>
    </xf>
    <xf numFmtId="0" fontId="11" fillId="0" borderId="0" xfId="2" applyFont="1">
      <alignment vertical="center"/>
    </xf>
    <xf numFmtId="0" fontId="3" fillId="0" borderId="0" xfId="16" applyFont="1">
      <alignment vertical="center"/>
    </xf>
    <xf numFmtId="0" fontId="71" fillId="0" borderId="0" xfId="16" applyFont="1">
      <alignment vertical="center"/>
    </xf>
    <xf numFmtId="0" fontId="72" fillId="0" borderId="0" xfId="16" applyFont="1">
      <alignment vertical="center"/>
    </xf>
    <xf numFmtId="0" fontId="58" fillId="0" borderId="0" xfId="16" applyFont="1" applyAlignment="1">
      <alignment horizontal="centerContinuous" vertical="center"/>
    </xf>
    <xf numFmtId="0" fontId="58" fillId="0" borderId="0" xfId="16" applyFont="1">
      <alignment vertical="center"/>
    </xf>
    <xf numFmtId="0" fontId="73" fillId="0" borderId="10" xfId="16" applyFont="1" applyBorder="1" applyAlignment="1">
      <alignment horizontal="right" vertical="center"/>
    </xf>
    <xf numFmtId="0" fontId="60" fillId="0" borderId="0" xfId="16" applyFont="1" applyAlignment="1">
      <alignment horizontal="left" vertical="center"/>
    </xf>
    <xf numFmtId="0" fontId="74" fillId="0" borderId="0" xfId="16" applyFont="1">
      <alignment vertical="center"/>
    </xf>
    <xf numFmtId="0" fontId="58" fillId="0" borderId="10" xfId="16" applyFont="1" applyBorder="1">
      <alignment vertical="center"/>
    </xf>
    <xf numFmtId="0" fontId="73" fillId="0" borderId="0" xfId="16" applyFont="1">
      <alignment vertical="center"/>
    </xf>
    <xf numFmtId="0" fontId="58" fillId="0" borderId="0" xfId="16" applyFont="1" applyAlignment="1">
      <alignment horizontal="right" vertical="center"/>
    </xf>
    <xf numFmtId="49" fontId="58" fillId="0" borderId="0" xfId="16" applyNumberFormat="1" applyFont="1">
      <alignment vertical="center"/>
    </xf>
    <xf numFmtId="0" fontId="60" fillId="0" borderId="0" xfId="16" applyFont="1">
      <alignment vertical="center"/>
    </xf>
    <xf numFmtId="0" fontId="11" fillId="0" borderId="25" xfId="16" applyFont="1" applyBorder="1" applyAlignment="1">
      <alignment horizontal="center" vertical="center"/>
    </xf>
    <xf numFmtId="0" fontId="11" fillId="0" borderId="28" xfId="16" applyFont="1" applyBorder="1" applyAlignment="1">
      <alignment horizontal="center" vertical="center" wrapText="1"/>
    </xf>
    <xf numFmtId="0" fontId="11" fillId="0" borderId="29" xfId="16" applyFont="1" applyBorder="1" applyAlignment="1">
      <alignment horizontal="center" vertical="center" wrapText="1"/>
    </xf>
    <xf numFmtId="0" fontId="11" fillId="0" borderId="30" xfId="16" applyFont="1" applyBorder="1" applyAlignment="1">
      <alignment horizontal="center" vertical="center"/>
    </xf>
    <xf numFmtId="0" fontId="11" fillId="0" borderId="6" xfId="16" applyFont="1" applyBorder="1" applyAlignment="1">
      <alignment horizontal="center" vertical="center" wrapText="1"/>
    </xf>
    <xf numFmtId="0" fontId="11" fillId="0" borderId="31" xfId="16" applyFont="1" applyBorder="1" applyAlignment="1">
      <alignment vertical="center" wrapText="1"/>
    </xf>
    <xf numFmtId="0" fontId="11" fillId="0" borderId="34" xfId="16" applyFont="1" applyBorder="1" applyAlignment="1">
      <alignment horizontal="center" vertical="center" wrapText="1"/>
    </xf>
    <xf numFmtId="0" fontId="11" fillId="0" borderId="34" xfId="16" applyFont="1" applyBorder="1" applyAlignment="1">
      <alignment horizontal="justify" vertical="center" wrapText="1"/>
    </xf>
    <xf numFmtId="10" fontId="11" fillId="0" borderId="34" xfId="16" applyNumberFormat="1" applyFont="1" applyBorder="1" applyAlignment="1">
      <alignment horizontal="center" vertical="center" wrapText="1"/>
    </xf>
    <xf numFmtId="177" fontId="11" fillId="0" borderId="34" xfId="16" applyNumberFormat="1" applyFont="1" applyBorder="1" applyAlignment="1">
      <alignment horizontal="right" vertical="center" wrapText="1"/>
    </xf>
    <xf numFmtId="49" fontId="11" fillId="0" borderId="34" xfId="16" applyNumberFormat="1" applyFont="1" applyBorder="1" applyAlignment="1">
      <alignment horizontal="center" vertical="center" wrapText="1"/>
    </xf>
    <xf numFmtId="0" fontId="11" fillId="0" borderId="2" xfId="16" applyFont="1" applyBorder="1" applyAlignment="1">
      <alignment vertical="center" wrapText="1"/>
    </xf>
    <xf numFmtId="0" fontId="11" fillId="0" borderId="0" xfId="16" applyFont="1" applyAlignment="1">
      <alignment vertical="center" wrapText="1"/>
    </xf>
    <xf numFmtId="0" fontId="11" fillId="0" borderId="0" xfId="16" applyFont="1" applyAlignment="1">
      <alignment vertical="top" wrapText="1"/>
    </xf>
    <xf numFmtId="0" fontId="11" fillId="0" borderId="25" xfId="16" applyFont="1" applyBorder="1" applyAlignment="1">
      <alignment horizontal="center" vertical="center" wrapText="1"/>
    </xf>
    <xf numFmtId="0" fontId="11" fillId="0" borderId="35" xfId="16" applyFont="1" applyBorder="1" applyAlignment="1">
      <alignment horizontal="center" vertical="center" wrapText="1"/>
    </xf>
    <xf numFmtId="0" fontId="11" fillId="0" borderId="0" xfId="16" applyFont="1" applyAlignment="1">
      <alignment horizontal="left" vertical="center" wrapText="1"/>
    </xf>
    <xf numFmtId="0" fontId="3" fillId="0" borderId="0" xfId="16" applyFont="1" applyAlignment="1">
      <alignment horizontal="left" vertical="center"/>
    </xf>
    <xf numFmtId="0" fontId="11" fillId="0" borderId="28" xfId="0" applyFont="1" applyBorder="1" applyAlignment="1">
      <alignment horizontal="center" vertical="center" wrapText="1"/>
    </xf>
    <xf numFmtId="0" fontId="11" fillId="0" borderId="34" xfId="0" applyFont="1" applyBorder="1" applyAlignment="1">
      <alignment horizontal="center" vertical="center" wrapText="1"/>
    </xf>
    <xf numFmtId="10" fontId="11" fillId="0" borderId="6" xfId="16" applyNumberFormat="1" applyFont="1" applyBorder="1" applyAlignment="1">
      <alignment horizontal="center" vertical="center" wrapText="1"/>
    </xf>
    <xf numFmtId="0" fontId="11" fillId="0" borderId="38" xfId="16" applyFont="1" applyBorder="1" applyAlignment="1">
      <alignment horizontal="center" vertical="center" wrapText="1"/>
    </xf>
    <xf numFmtId="0" fontId="75" fillId="0" borderId="0" xfId="16" applyFont="1" applyAlignment="1">
      <alignment horizontal="right" vertical="top"/>
    </xf>
    <xf numFmtId="0" fontId="76" fillId="0" borderId="10" xfId="16" applyFont="1" applyBorder="1" applyAlignment="1">
      <alignment horizontal="center" vertical="center"/>
    </xf>
    <xf numFmtId="0" fontId="60" fillId="0" borderId="10" xfId="19" applyFont="1" applyBorder="1" applyAlignment="1">
      <alignment horizontal="left" vertical="center"/>
    </xf>
    <xf numFmtId="0" fontId="19" fillId="7" borderId="0" xfId="4" applyFill="1" applyAlignment="1">
      <alignment vertical="center"/>
    </xf>
    <xf numFmtId="0" fontId="73" fillId="0" borderId="0" xfId="16" applyFont="1" applyAlignment="1">
      <alignment horizontal="center" vertical="center"/>
    </xf>
    <xf numFmtId="0" fontId="73" fillId="0" borderId="0" xfId="16" applyFont="1" applyAlignment="1">
      <alignment horizontal="right" vertical="center"/>
    </xf>
    <xf numFmtId="49" fontId="58" fillId="0" borderId="0" xfId="16" applyNumberFormat="1" applyFont="1" applyAlignment="1">
      <alignment horizontal="left" vertical="center"/>
    </xf>
    <xf numFmtId="0" fontId="11" fillId="0" borderId="28" xfId="2" applyFont="1" applyBorder="1" applyAlignment="1">
      <alignment horizontal="center" vertical="center" wrapText="1"/>
    </xf>
    <xf numFmtId="0" fontId="11" fillId="0" borderId="39" xfId="16" applyFont="1" applyBorder="1" applyAlignment="1">
      <alignment horizontal="center" vertical="center" wrapText="1"/>
    </xf>
    <xf numFmtId="0" fontId="11" fillId="0" borderId="40" xfId="16" applyFont="1" applyBorder="1" applyAlignment="1">
      <alignment horizontal="center" vertical="center" wrapText="1"/>
    </xf>
    <xf numFmtId="0" fontId="11" fillId="0" borderId="41" xfId="16" applyFont="1" applyBorder="1" applyAlignment="1">
      <alignment vertical="center" wrapText="1"/>
    </xf>
    <xf numFmtId="0" fontId="11" fillId="0" borderId="42" xfId="16" applyFont="1" applyBorder="1" applyAlignment="1">
      <alignment horizontal="center" vertical="center" wrapText="1"/>
    </xf>
    <xf numFmtId="0" fontId="11" fillId="0" borderId="41" xfId="16" applyFont="1" applyBorder="1" applyAlignment="1">
      <alignment horizontal="center" vertical="center" wrapText="1"/>
    </xf>
    <xf numFmtId="49" fontId="11" fillId="0" borderId="40" xfId="16" applyNumberFormat="1" applyFont="1" applyBorder="1" applyAlignment="1">
      <alignment horizontal="center" vertical="center"/>
    </xf>
    <xf numFmtId="49" fontId="11" fillId="0" borderId="41" xfId="16" applyNumberFormat="1" applyFont="1" applyBorder="1" applyAlignment="1">
      <alignment horizontal="center" vertical="center"/>
    </xf>
    <xf numFmtId="177" fontId="11" fillId="0" borderId="6" xfId="16" applyNumberFormat="1" applyFont="1" applyBorder="1" applyAlignment="1">
      <alignment horizontal="center" vertical="center" wrapText="1"/>
    </xf>
    <xf numFmtId="49" fontId="11" fillId="0" borderId="40" xfId="16" applyNumberFormat="1" applyFont="1" applyBorder="1" applyAlignment="1">
      <alignment horizontal="center" vertical="center" wrapText="1"/>
    </xf>
    <xf numFmtId="49" fontId="11" fillId="0" borderId="41" xfId="16" applyNumberFormat="1" applyFont="1" applyBorder="1" applyAlignment="1">
      <alignment horizontal="center" vertical="center" wrapText="1"/>
    </xf>
    <xf numFmtId="0" fontId="73" fillId="0" borderId="0" xfId="16" applyFont="1" applyAlignment="1">
      <alignment horizontal="left" vertical="center"/>
    </xf>
    <xf numFmtId="0" fontId="11" fillId="0" borderId="38" xfId="16" applyFont="1" applyBorder="1" applyAlignment="1">
      <alignment horizontal="center" vertical="center"/>
    </xf>
    <xf numFmtId="0" fontId="11" fillId="0" borderId="4" xfId="16" applyFont="1" applyBorder="1">
      <alignment vertical="center"/>
    </xf>
    <xf numFmtId="0" fontId="11" fillId="0" borderId="5" xfId="16" applyFont="1" applyBorder="1">
      <alignment vertical="center"/>
    </xf>
    <xf numFmtId="0" fontId="11" fillId="0" borderId="6" xfId="2" applyFont="1" applyBorder="1" applyAlignment="1">
      <alignment horizontal="center" vertical="center"/>
    </xf>
    <xf numFmtId="0" fontId="11" fillId="0" borderId="40" xfId="16" applyFont="1" applyBorder="1" applyAlignment="1">
      <alignment horizontal="center" vertical="center"/>
    </xf>
    <xf numFmtId="0" fontId="11" fillId="0" borderId="40" xfId="0" applyFont="1" applyBorder="1" applyAlignment="1">
      <alignment horizontal="center" vertical="center"/>
    </xf>
    <xf numFmtId="0" fontId="11" fillId="0" borderId="13" xfId="16" applyFont="1" applyBorder="1">
      <alignment vertical="center"/>
    </xf>
    <xf numFmtId="49" fontId="11" fillId="0" borderId="6" xfId="16" applyNumberFormat="1" applyFont="1" applyBorder="1" applyAlignment="1">
      <alignment horizontal="center" vertical="center" wrapText="1"/>
    </xf>
    <xf numFmtId="181" fontId="11" fillId="0" borderId="6" xfId="16" applyNumberFormat="1" applyFont="1" applyBorder="1" applyAlignment="1">
      <alignment horizontal="center" vertical="center" wrapText="1"/>
    </xf>
    <xf numFmtId="181" fontId="11" fillId="0" borderId="34" xfId="16" applyNumberFormat="1" applyFont="1" applyBorder="1" applyAlignment="1">
      <alignment horizontal="center" vertical="center" wrapText="1"/>
    </xf>
    <xf numFmtId="0" fontId="11" fillId="0" borderId="0" xfId="16" applyFont="1" applyAlignment="1">
      <alignment horizontal="center" vertical="center" wrapText="1"/>
    </xf>
    <xf numFmtId="49" fontId="11" fillId="0" borderId="0" xfId="16" applyNumberFormat="1" applyFont="1" applyAlignment="1">
      <alignment horizontal="center" vertical="center" wrapText="1"/>
    </xf>
    <xf numFmtId="177" fontId="11" fillId="0" borderId="0" xfId="16" applyNumberFormat="1" applyFont="1" applyAlignment="1">
      <alignment horizontal="right" vertical="center" wrapText="1"/>
    </xf>
    <xf numFmtId="0" fontId="3" fillId="0" borderId="1" xfId="16" applyFont="1" applyBorder="1" applyAlignment="1">
      <alignment vertical="center" wrapText="1"/>
    </xf>
    <xf numFmtId="0" fontId="3" fillId="0" borderId="2" xfId="16" applyFont="1" applyBorder="1" applyAlignment="1">
      <alignment vertical="center" wrapText="1"/>
    </xf>
    <xf numFmtId="0" fontId="3" fillId="0" borderId="4" xfId="16" applyFont="1" applyBorder="1" applyAlignment="1">
      <alignment vertical="center" wrapText="1"/>
    </xf>
    <xf numFmtId="0" fontId="3" fillId="0" borderId="5" xfId="16" applyFont="1" applyBorder="1" applyAlignment="1">
      <alignment vertical="center" wrapText="1"/>
    </xf>
    <xf numFmtId="0" fontId="3" fillId="0" borderId="1" xfId="16" applyFont="1" applyBorder="1">
      <alignment vertical="center"/>
    </xf>
    <xf numFmtId="0" fontId="3" fillId="0" borderId="2" xfId="16" applyFont="1" applyBorder="1">
      <alignment vertical="center"/>
    </xf>
    <xf numFmtId="0" fontId="3" fillId="0" borderId="3" xfId="16" applyFont="1" applyBorder="1">
      <alignment vertical="center"/>
    </xf>
    <xf numFmtId="0" fontId="3" fillId="0" borderId="11" xfId="16" applyFont="1" applyBorder="1" applyAlignment="1">
      <alignment vertical="center" wrapText="1"/>
    </xf>
    <xf numFmtId="0" fontId="3" fillId="0" borderId="13" xfId="16" applyFont="1" applyBorder="1" applyAlignment="1">
      <alignment vertical="center" wrapText="1"/>
    </xf>
    <xf numFmtId="0" fontId="3" fillId="0" borderId="11" xfId="16" applyFont="1" applyBorder="1">
      <alignment vertical="center"/>
    </xf>
    <xf numFmtId="0" fontId="3" fillId="0" borderId="12" xfId="16" applyFont="1" applyBorder="1">
      <alignment vertical="center"/>
    </xf>
    <xf numFmtId="0" fontId="3" fillId="0" borderId="0" xfId="11" applyFont="1" applyAlignment="1">
      <alignment vertical="center"/>
    </xf>
    <xf numFmtId="0" fontId="77" fillId="0" borderId="0" xfId="11" applyFont="1" applyAlignment="1">
      <alignment horizontal="center" vertical="center"/>
    </xf>
    <xf numFmtId="0" fontId="3" fillId="0" borderId="0" xfId="11" applyFont="1" applyAlignment="1">
      <alignment horizontal="center" vertical="center"/>
    </xf>
    <xf numFmtId="0" fontId="3" fillId="0" borderId="0" xfId="11" applyFont="1" applyAlignment="1">
      <alignment horizontal="right" vertical="center"/>
    </xf>
    <xf numFmtId="0" fontId="3" fillId="0" borderId="0" xfId="16" applyFont="1" applyAlignment="1">
      <alignment horizontal="right" vertical="center"/>
    </xf>
    <xf numFmtId="0" fontId="3" fillId="0" borderId="4" xfId="16" applyFont="1" applyBorder="1">
      <alignment vertical="center"/>
    </xf>
    <xf numFmtId="0" fontId="3" fillId="0" borderId="5" xfId="16" applyFont="1" applyBorder="1">
      <alignment vertical="center"/>
    </xf>
    <xf numFmtId="0" fontId="11" fillId="0" borderId="3" xfId="16" applyFont="1" applyBorder="1">
      <alignment vertical="center"/>
    </xf>
    <xf numFmtId="0" fontId="3" fillId="0" borderId="13" xfId="16" applyFont="1" applyBorder="1">
      <alignment vertical="center"/>
    </xf>
    <xf numFmtId="0" fontId="3" fillId="0" borderId="5" xfId="11" applyFont="1" applyBorder="1" applyAlignment="1">
      <alignment vertical="center"/>
    </xf>
    <xf numFmtId="0" fontId="68" fillId="0" borderId="0" xfId="16" applyFont="1" applyAlignment="1">
      <alignment vertical="center"/>
    </xf>
    <xf numFmtId="0" fontId="4" fillId="0" borderId="0" xfId="16" applyFont="1" applyAlignment="1">
      <alignment vertical="center"/>
    </xf>
    <xf numFmtId="0" fontId="6" fillId="0" borderId="0" xfId="16" applyFont="1" applyFill="1">
      <alignment vertical="center"/>
    </xf>
    <xf numFmtId="0" fontId="13" fillId="0" borderId="0" xfId="16" applyFont="1" applyFill="1">
      <alignment vertical="center"/>
    </xf>
    <xf numFmtId="0" fontId="13" fillId="0" borderId="0" xfId="16" applyFont="1" applyFill="1" applyAlignment="1">
      <alignment vertical="center" wrapText="1"/>
    </xf>
    <xf numFmtId="43" fontId="11" fillId="0" borderId="6" xfId="3" applyFont="1" applyBorder="1" applyAlignment="1">
      <alignment horizontal="center" vertical="center" wrapText="1"/>
    </xf>
    <xf numFmtId="43" fontId="11" fillId="0" borderId="6" xfId="3" applyFont="1" applyFill="1" applyBorder="1" applyAlignment="1">
      <alignment horizontal="left" vertical="center"/>
    </xf>
    <xf numFmtId="14" fontId="11" fillId="0" borderId="0" xfId="16" applyNumberFormat="1" applyFont="1" applyProtection="1">
      <alignment vertical="center"/>
      <protection locked="0"/>
    </xf>
    <xf numFmtId="0" fontId="37" fillId="0" borderId="0" xfId="16" applyFont="1" applyFill="1">
      <alignment vertical="center"/>
    </xf>
    <xf numFmtId="0" fontId="13" fillId="0" borderId="0" xfId="16" applyFont="1" applyFill="1" applyAlignment="1">
      <alignment horizontal="center" vertical="center"/>
    </xf>
    <xf numFmtId="0" fontId="11" fillId="0" borderId="6" xfId="16" applyFont="1" applyFill="1" applyBorder="1" applyAlignment="1">
      <alignment horizontal="centerContinuous" vertical="center"/>
    </xf>
    <xf numFmtId="0" fontId="11" fillId="0" borderId="6" xfId="16" applyFont="1" applyFill="1" applyBorder="1" applyAlignment="1">
      <alignment horizontal="center" vertical="center"/>
    </xf>
    <xf numFmtId="43" fontId="37" fillId="0" borderId="6" xfId="3" applyFont="1" applyFill="1" applyBorder="1" applyAlignment="1">
      <alignment horizontal="center" vertical="center" wrapText="1"/>
    </xf>
    <xf numFmtId="43" fontId="13" fillId="0" borderId="6" xfId="3" applyFont="1" applyFill="1" applyBorder="1" applyAlignment="1">
      <alignment horizontal="center" vertical="center" wrapText="1"/>
    </xf>
    <xf numFmtId="0" fontId="10" fillId="3" borderId="0" xfId="0" applyFont="1" applyFill="1" applyAlignment="1">
      <alignment vertical="center"/>
    </xf>
    <xf numFmtId="49" fontId="10" fillId="0" borderId="0" xfId="0" applyNumberFormat="1" applyFont="1" applyAlignment="1">
      <alignment vertical="center"/>
    </xf>
    <xf numFmtId="0" fontId="78" fillId="0" borderId="0" xfId="0" applyFont="1" applyAlignment="1">
      <alignment vertical="center"/>
    </xf>
    <xf numFmtId="0" fontId="78" fillId="0" borderId="0" xfId="0" applyFont="1" applyAlignment="1">
      <alignment horizontal="center" vertical="center"/>
    </xf>
    <xf numFmtId="0" fontId="0" fillId="3" borderId="0" xfId="0" applyFill="1"/>
    <xf numFmtId="0" fontId="10" fillId="3" borderId="0" xfId="0" applyFont="1" applyFill="1" applyAlignment="1">
      <alignment horizontal="center" vertical="center" wrapText="1"/>
    </xf>
    <xf numFmtId="0" fontId="10" fillId="3" borderId="0" xfId="0" applyFont="1" applyFill="1" applyAlignment="1">
      <alignment horizontal="center" vertical="center"/>
    </xf>
    <xf numFmtId="49" fontId="10" fillId="0" borderId="6" xfId="0" applyNumberFormat="1" applyFont="1" applyBorder="1" applyAlignment="1">
      <alignment vertical="center"/>
    </xf>
    <xf numFmtId="178" fontId="10" fillId="0" borderId="6" xfId="0" applyNumberFormat="1" applyFont="1" applyBorder="1" applyAlignment="1">
      <alignment vertical="center"/>
    </xf>
    <xf numFmtId="0" fontId="73" fillId="0" borderId="6" xfId="16" applyFont="1" applyBorder="1" applyAlignment="1">
      <alignment horizontal="center" vertical="center" wrapText="1"/>
    </xf>
    <xf numFmtId="183" fontId="73" fillId="0" borderId="6" xfId="0" applyNumberFormat="1" applyFont="1" applyBorder="1" applyAlignment="1">
      <alignment horizontal="center" vertical="center"/>
    </xf>
    <xf numFmtId="49" fontId="6" fillId="0" borderId="6" xfId="3" applyNumberFormat="1" applyFont="1" applyBorder="1">
      <alignment vertical="center"/>
    </xf>
    <xf numFmtId="0" fontId="24" fillId="0" borderId="6" xfId="0" applyFont="1" applyBorder="1"/>
    <xf numFmtId="49" fontId="79" fillId="0" borderId="6" xfId="0" applyNumberFormat="1" applyFont="1" applyBorder="1" applyAlignment="1">
      <alignment vertical="center"/>
    </xf>
    <xf numFmtId="0" fontId="73" fillId="0" borderId="6" xfId="0" applyFont="1" applyBorder="1"/>
    <xf numFmtId="43" fontId="6" fillId="0" borderId="6" xfId="3" applyFont="1" applyBorder="1">
      <alignment vertical="center"/>
    </xf>
    <xf numFmtId="0" fontId="79" fillId="0" borderId="6" xfId="0" applyFont="1" applyBorder="1" applyAlignment="1">
      <alignment vertical="center"/>
    </xf>
    <xf numFmtId="0" fontId="19" fillId="3" borderId="0" xfId="4" applyFill="1" applyAlignment="1">
      <alignment horizontal="center" vertical="center"/>
    </xf>
    <xf numFmtId="43" fontId="19" fillId="3" borderId="0" xfId="4" applyNumberFormat="1" applyFill="1" applyAlignment="1">
      <alignment horizontal="center" vertical="center" wrapText="1"/>
    </xf>
    <xf numFmtId="0" fontId="24" fillId="0" borderId="6" xfId="0" applyFont="1" applyBorder="1" applyAlignment="1">
      <alignment horizontal="left"/>
    </xf>
    <xf numFmtId="43" fontId="78" fillId="3" borderId="0" xfId="3" applyFont="1" applyFill="1" applyAlignment="1">
      <alignment horizontal="left" vertical="center" wrapText="1"/>
    </xf>
    <xf numFmtId="0" fontId="0" fillId="3" borderId="0" xfId="0" applyFill="1" applyAlignment="1">
      <alignment horizontal="center" vertical="center"/>
    </xf>
    <xf numFmtId="0" fontId="81" fillId="3" borderId="0" xfId="0" applyFont="1" applyFill="1" applyAlignment="1">
      <alignment horizontal="center"/>
    </xf>
    <xf numFmtId="43" fontId="78" fillId="3" borderId="0" xfId="3" applyFont="1" applyFill="1" applyAlignment="1">
      <alignment horizontal="left" vertical="center"/>
    </xf>
    <xf numFmtId="0" fontId="63" fillId="8" borderId="0" xfId="0" applyFont="1" applyFill="1" applyAlignment="1">
      <alignment horizontal="center" wrapText="1"/>
    </xf>
    <xf numFmtId="0" fontId="63" fillId="8" borderId="20" xfId="0" applyFont="1" applyFill="1" applyBorder="1" applyAlignment="1">
      <alignment horizontal="center" vertical="center"/>
    </xf>
    <xf numFmtId="0" fontId="82" fillId="8" borderId="0" xfId="0" applyFont="1" applyFill="1"/>
    <xf numFmtId="0" fontId="19" fillId="8" borderId="0" xfId="4" applyFill="1" applyAlignment="1">
      <alignment vertical="center"/>
    </xf>
    <xf numFmtId="0" fontId="19" fillId="8" borderId="0" xfId="4" applyFill="1"/>
    <xf numFmtId="43" fontId="10" fillId="2" borderId="0" xfId="3" applyFont="1" applyFill="1" applyAlignment="1">
      <alignment horizontal="left" vertical="center"/>
    </xf>
    <xf numFmtId="0" fontId="63" fillId="8" borderId="0" xfId="0" applyFont="1" applyFill="1"/>
    <xf numFmtId="0" fontId="0" fillId="8" borderId="0" xfId="0" applyFill="1"/>
    <xf numFmtId="0" fontId="0" fillId="0" borderId="0" xfId="0" applyFill="1"/>
    <xf numFmtId="0" fontId="0" fillId="2" borderId="20" xfId="0" applyFill="1" applyBorder="1"/>
    <xf numFmtId="14" fontId="0" fillId="0" borderId="0" xfId="0" applyNumberFormat="1" applyFill="1" applyAlignment="1">
      <alignment horizontal="center"/>
    </xf>
    <xf numFmtId="0" fontId="0" fillId="8" borderId="20" xfId="0" applyFill="1" applyBorder="1"/>
    <xf numFmtId="0" fontId="0" fillId="8" borderId="0" xfId="0" applyFill="1" applyAlignment="1">
      <alignment wrapText="1"/>
    </xf>
    <xf numFmtId="0" fontId="6" fillId="8" borderId="0" xfId="16" applyFont="1" applyFill="1">
      <alignment vertical="center"/>
    </xf>
    <xf numFmtId="0" fontId="82" fillId="8" borderId="0" xfId="0" applyFont="1" applyFill="1" applyAlignment="1">
      <alignment horizontal="center"/>
    </xf>
    <xf numFmtId="0" fontId="0" fillId="8" borderId="0" xfId="0" applyFill="1" applyAlignment="1">
      <alignment horizontal="left" wrapText="1"/>
    </xf>
    <xf numFmtId="0" fontId="0" fillId="8" borderId="0" xfId="0" applyFill="1" applyAlignment="1">
      <alignment horizontal="center"/>
    </xf>
    <xf numFmtId="0" fontId="13" fillId="8" borderId="0" xfId="16" applyFont="1" applyFill="1">
      <alignment vertical="center"/>
    </xf>
    <xf numFmtId="14" fontId="0" fillId="8" borderId="0" xfId="0" applyNumberFormat="1" applyFill="1"/>
    <xf numFmtId="12" fontId="79" fillId="0" borderId="6" xfId="0" quotePrefix="1" applyNumberFormat="1" applyFont="1" applyBorder="1" applyAlignment="1">
      <alignment vertical="center"/>
    </xf>
    <xf numFmtId="49" fontId="79" fillId="0" borderId="6" xfId="0" quotePrefix="1" applyNumberFormat="1" applyFont="1" applyBorder="1" applyAlignment="1">
      <alignment vertical="center"/>
    </xf>
    <xf numFmtId="0" fontId="13" fillId="0" borderId="7" xfId="16" quotePrefix="1" applyFont="1" applyBorder="1" applyAlignment="1">
      <alignment horizontal="left" vertical="center"/>
    </xf>
    <xf numFmtId="0" fontId="48" fillId="0" borderId="0" xfId="16" quotePrefix="1" applyFont="1" applyAlignment="1">
      <alignment horizontal="left" vertical="center"/>
    </xf>
    <xf numFmtId="0" fontId="14" fillId="0" borderId="7" xfId="16" quotePrefix="1" applyFont="1" applyBorder="1" applyAlignment="1">
      <alignment horizontal="left" vertical="center"/>
    </xf>
    <xf numFmtId="0" fontId="20" fillId="0" borderId="8" xfId="16" quotePrefix="1" applyFont="1" applyBorder="1" applyAlignment="1">
      <alignment horizontal="left" vertical="center"/>
    </xf>
    <xf numFmtId="0" fontId="0" fillId="0" borderId="0" xfId="0" applyAlignment="1">
      <alignment horizontal="left" wrapText="1"/>
    </xf>
    <xf numFmtId="0" fontId="0" fillId="0" borderId="0" xfId="0" applyAlignment="1">
      <alignment horizontal="left"/>
    </xf>
    <xf numFmtId="0" fontId="0" fillId="8" borderId="19" xfId="0" applyFill="1" applyBorder="1"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center"/>
    </xf>
    <xf numFmtId="0" fontId="11" fillId="0" borderId="38" xfId="16" applyFont="1" applyBorder="1" applyAlignment="1">
      <alignment horizontal="center" vertical="center"/>
    </xf>
    <xf numFmtId="0" fontId="11" fillId="0" borderId="6" xfId="16" applyFont="1" applyBorder="1" applyAlignment="1">
      <alignment horizontal="center" vertical="center"/>
    </xf>
    <xf numFmtId="0" fontId="11" fillId="0" borderId="40" xfId="16" applyFont="1" applyBorder="1" applyAlignment="1">
      <alignment horizontal="center" vertical="center"/>
    </xf>
    <xf numFmtId="0" fontId="11" fillId="0" borderId="38" xfId="16" applyFont="1" applyBorder="1" applyAlignment="1">
      <alignment horizontal="center" vertical="center" wrapText="1"/>
    </xf>
    <xf numFmtId="0" fontId="11" fillId="0" borderId="6" xfId="16" applyFont="1" applyBorder="1" applyAlignment="1">
      <alignment horizontal="center" vertical="center" wrapText="1"/>
    </xf>
    <xf numFmtId="0" fontId="11" fillId="0" borderId="40" xfId="16" applyFont="1" applyBorder="1" applyAlignment="1">
      <alignment horizontal="center" vertical="center" wrapText="1"/>
    </xf>
    <xf numFmtId="0" fontId="11" fillId="0" borderId="38" xfId="0" applyFont="1" applyBorder="1" applyAlignment="1">
      <alignment horizontal="center" vertical="center"/>
    </xf>
    <xf numFmtId="0" fontId="11" fillId="0" borderId="6" xfId="0" applyFont="1" applyBorder="1" applyAlignment="1">
      <alignment horizontal="center" vertical="center"/>
    </xf>
    <xf numFmtId="0" fontId="80" fillId="3" borderId="0" xfId="0" applyFont="1" applyFill="1" applyAlignment="1">
      <alignment horizontal="center" vertical="center"/>
    </xf>
    <xf numFmtId="43" fontId="9" fillId="3" borderId="6" xfId="3" applyFont="1" applyFill="1" applyBorder="1" applyAlignment="1">
      <alignment horizontal="left" vertical="center"/>
    </xf>
    <xf numFmtId="0" fontId="11" fillId="0" borderId="6" xfId="0" applyFont="1" applyBorder="1" applyAlignment="1">
      <alignment horizontal="center" vertical="center" wrapText="1"/>
    </xf>
    <xf numFmtId="0" fontId="11" fillId="0" borderId="40" xfId="0" applyFont="1" applyBorder="1" applyAlignment="1">
      <alignment horizontal="center" vertical="center" wrapText="1"/>
    </xf>
    <xf numFmtId="0" fontId="11" fillId="0" borderId="0" xfId="16" applyFont="1" applyAlignment="1">
      <alignment horizontal="center" vertical="center"/>
    </xf>
    <xf numFmtId="0" fontId="13" fillId="0" borderId="0" xfId="16" applyFont="1" applyAlignment="1">
      <alignment horizontal="center" vertical="center"/>
    </xf>
    <xf numFmtId="0" fontId="13" fillId="0" borderId="0" xfId="16" applyFont="1" applyAlignment="1">
      <alignment horizontal="left" vertical="center" wrapText="1"/>
    </xf>
    <xf numFmtId="0" fontId="69" fillId="0" borderId="0" xfId="20" applyFont="1" applyAlignment="1">
      <alignment horizontal="left" vertical="center"/>
    </xf>
    <xf numFmtId="43" fontId="11" fillId="0" borderId="17" xfId="3" applyFont="1" applyBorder="1" applyAlignment="1">
      <alignment horizontal="center" vertical="center" wrapText="1"/>
    </xf>
    <xf numFmtId="43" fontId="11" fillId="0" borderId="18" xfId="3" applyFont="1" applyBorder="1" applyAlignment="1">
      <alignment horizontal="center" vertical="center" wrapText="1"/>
    </xf>
    <xf numFmtId="0" fontId="68" fillId="0" borderId="0" xfId="16" applyFont="1" applyAlignment="1">
      <alignment horizontal="center" vertical="center"/>
    </xf>
    <xf numFmtId="43" fontId="9" fillId="0" borderId="10" xfId="3" applyFont="1" applyFill="1" applyBorder="1" applyAlignment="1">
      <alignment horizontal="center" vertical="center"/>
    </xf>
    <xf numFmtId="0" fontId="11" fillId="0" borderId="6" xfId="16" applyFont="1" applyFill="1" applyBorder="1" applyAlignment="1">
      <alignment horizontal="center" vertical="center"/>
    </xf>
    <xf numFmtId="180" fontId="11" fillId="0" borderId="0" xfId="16" applyNumberFormat="1" applyFont="1" applyAlignment="1">
      <alignment horizontal="left" vertical="center"/>
    </xf>
    <xf numFmtId="0" fontId="77" fillId="0" borderId="5" xfId="16" applyFont="1" applyBorder="1" applyAlignment="1">
      <alignment horizontal="center" vertical="center"/>
    </xf>
    <xf numFmtId="0" fontId="3" fillId="0" borderId="5" xfId="16" applyFont="1" applyBorder="1" applyAlignment="1">
      <alignment horizontal="center" vertical="center"/>
    </xf>
    <xf numFmtId="0" fontId="11" fillId="0" borderId="2" xfId="16" applyFont="1" applyBorder="1" applyAlignment="1">
      <alignment horizontal="left" vertical="center" wrapText="1"/>
    </xf>
    <xf numFmtId="0" fontId="11" fillId="0" borderId="0" xfId="16" applyFont="1" applyAlignment="1">
      <alignment horizontal="left" vertical="center" wrapText="1"/>
    </xf>
    <xf numFmtId="0" fontId="58" fillId="0" borderId="0" xfId="16" applyFont="1" applyAlignment="1">
      <alignment horizontal="left" vertical="center" wrapText="1"/>
    </xf>
    <xf numFmtId="0" fontId="58" fillId="0" borderId="0" xfId="16" applyFont="1" applyAlignment="1">
      <alignment horizontal="left" vertical="top" wrapText="1"/>
    </xf>
    <xf numFmtId="0" fontId="11" fillId="0" borderId="25" xfId="16" applyFont="1" applyBorder="1" applyAlignment="1">
      <alignment horizontal="center" vertical="center" wrapText="1"/>
    </xf>
    <xf numFmtId="0" fontId="11" fillId="0" borderId="28" xfId="16" applyFont="1" applyBorder="1" applyAlignment="1">
      <alignment horizontal="center" vertical="center" wrapText="1"/>
    </xf>
    <xf numFmtId="49" fontId="11" fillId="0" borderId="6" xfId="16" applyNumberFormat="1" applyFont="1" applyBorder="1" applyAlignment="1">
      <alignment horizontal="center" vertical="center" wrapText="1"/>
    </xf>
    <xf numFmtId="177" fontId="11" fillId="0" borderId="6" xfId="16" applyNumberFormat="1" applyFont="1" applyBorder="1" applyAlignment="1">
      <alignment horizontal="center" vertical="center" wrapText="1"/>
    </xf>
    <xf numFmtId="0" fontId="11" fillId="0" borderId="35" xfId="16" applyFont="1" applyBorder="1" applyAlignment="1">
      <alignment horizontal="center" vertical="center" wrapText="1"/>
    </xf>
    <xf numFmtId="0" fontId="11" fillId="0" borderId="34" xfId="16" applyFont="1" applyBorder="1" applyAlignment="1">
      <alignment horizontal="center" vertical="center" wrapText="1"/>
    </xf>
    <xf numFmtId="49" fontId="11" fillId="0" borderId="34" xfId="16" applyNumberFormat="1" applyFont="1" applyBorder="1" applyAlignment="1">
      <alignment horizontal="center" vertical="center" wrapText="1"/>
    </xf>
    <xf numFmtId="177" fontId="11" fillId="0" borderId="34" xfId="16" applyNumberFormat="1" applyFont="1" applyBorder="1" applyAlignment="1">
      <alignment horizontal="center" vertical="center" wrapText="1"/>
    </xf>
    <xf numFmtId="0" fontId="11" fillId="0" borderId="42" xfId="16" applyFont="1" applyBorder="1" applyAlignment="1">
      <alignment horizontal="center" vertical="center" wrapText="1"/>
    </xf>
    <xf numFmtId="177" fontId="11" fillId="0" borderId="17" xfId="16" applyNumberFormat="1" applyFont="1" applyBorder="1" applyAlignment="1">
      <alignment horizontal="center" vertical="center" wrapText="1"/>
    </xf>
    <xf numFmtId="177" fontId="11" fillId="0" borderId="43" xfId="16" applyNumberFormat="1" applyFont="1" applyBorder="1" applyAlignment="1">
      <alignment horizontal="center" vertical="center" wrapText="1"/>
    </xf>
    <xf numFmtId="177" fontId="11" fillId="0" borderId="32" xfId="16" applyNumberFormat="1" applyFont="1" applyBorder="1" applyAlignment="1">
      <alignment horizontal="center" vertical="center" wrapText="1"/>
    </xf>
    <xf numFmtId="177" fontId="11" fillId="0" borderId="49" xfId="16" applyNumberFormat="1" applyFont="1" applyBorder="1" applyAlignment="1">
      <alignment horizontal="center" vertical="center" wrapText="1"/>
    </xf>
    <xf numFmtId="0" fontId="11" fillId="0" borderId="36" xfId="16" applyFont="1" applyBorder="1" applyAlignment="1">
      <alignment horizontal="center" vertical="center" wrapText="1"/>
    </xf>
    <xf numFmtId="0" fontId="11" fillId="0" borderId="27" xfId="16" applyFont="1" applyBorder="1" applyAlignment="1">
      <alignment horizontal="center" vertical="center" wrapText="1"/>
    </xf>
    <xf numFmtId="0" fontId="11" fillId="0" borderId="26" xfId="16" applyFont="1" applyBorder="1" applyAlignment="1">
      <alignment horizontal="center" vertical="center" wrapText="1"/>
    </xf>
    <xf numFmtId="0" fontId="11" fillId="0" borderId="48" xfId="16" applyFont="1" applyBorder="1" applyAlignment="1">
      <alignment horizontal="center" vertical="center" wrapText="1"/>
    </xf>
    <xf numFmtId="0" fontId="11" fillId="0" borderId="30" xfId="16" applyFont="1" applyBorder="1" applyAlignment="1">
      <alignment horizontal="center" vertical="center" wrapText="1"/>
    </xf>
    <xf numFmtId="0" fontId="11" fillId="0" borderId="18" xfId="16" applyFont="1" applyBorder="1" applyAlignment="1">
      <alignment horizontal="center" vertical="center" wrapText="1"/>
    </xf>
    <xf numFmtId="177" fontId="11" fillId="0" borderId="18" xfId="16" applyNumberFormat="1" applyFont="1" applyBorder="1" applyAlignment="1">
      <alignment horizontal="center" vertical="center" wrapText="1"/>
    </xf>
    <xf numFmtId="49" fontId="11" fillId="0" borderId="17" xfId="16" applyNumberFormat="1" applyFont="1" applyBorder="1" applyAlignment="1">
      <alignment horizontal="center" vertical="center" wrapText="1"/>
    </xf>
    <xf numFmtId="49" fontId="11" fillId="0" borderId="43" xfId="16" applyNumberFormat="1" applyFont="1" applyBorder="1" applyAlignment="1">
      <alignment horizontal="center" vertical="center" wrapText="1"/>
    </xf>
    <xf numFmtId="0" fontId="11" fillId="0" borderId="31" xfId="16" applyFont="1" applyBorder="1" applyAlignment="1">
      <alignment horizontal="center" vertical="center" wrapText="1"/>
    </xf>
    <xf numFmtId="0" fontId="11" fillId="0" borderId="37" xfId="16" applyFont="1" applyBorder="1" applyAlignment="1">
      <alignment horizontal="center" vertical="center" wrapText="1"/>
    </xf>
    <xf numFmtId="177" fontId="11" fillId="0" borderId="37" xfId="16" applyNumberFormat="1" applyFont="1" applyBorder="1" applyAlignment="1">
      <alignment horizontal="center" vertical="center" wrapText="1"/>
    </xf>
    <xf numFmtId="49" fontId="11" fillId="0" borderId="32" xfId="16" applyNumberFormat="1" applyFont="1" applyBorder="1" applyAlignment="1">
      <alignment horizontal="center" vertical="center" wrapText="1"/>
    </xf>
    <xf numFmtId="49" fontId="11" fillId="0" borderId="49" xfId="16" applyNumberFormat="1" applyFont="1" applyBorder="1" applyAlignment="1">
      <alignment horizontal="center" vertical="center" wrapText="1"/>
    </xf>
    <xf numFmtId="49" fontId="11" fillId="0" borderId="38" xfId="16" applyNumberFormat="1" applyFont="1" applyBorder="1" applyAlignment="1">
      <alignment horizontal="center" vertical="center" wrapText="1"/>
    </xf>
    <xf numFmtId="177" fontId="11" fillId="0" borderId="40" xfId="16" applyNumberFormat="1" applyFont="1" applyBorder="1" applyAlignment="1">
      <alignment horizontal="center" vertical="center" wrapText="1"/>
    </xf>
    <xf numFmtId="49" fontId="11" fillId="0" borderId="35" xfId="16" applyNumberFormat="1" applyFont="1" applyBorder="1" applyAlignment="1">
      <alignment horizontal="center" vertical="center" wrapText="1"/>
    </xf>
    <xf numFmtId="0" fontId="11" fillId="0" borderId="34" xfId="16" applyFont="1" applyBorder="1" applyAlignment="1">
      <alignment horizontal="center" vertical="center"/>
    </xf>
    <xf numFmtId="177" fontId="11" fillId="0" borderId="34" xfId="16" applyNumberFormat="1" applyFont="1" applyBorder="1" applyAlignment="1">
      <alignment horizontal="right" vertical="center" wrapText="1"/>
    </xf>
    <xf numFmtId="177" fontId="11" fillId="0" borderId="41" xfId="16" applyNumberFormat="1" applyFont="1" applyBorder="1" applyAlignment="1">
      <alignment horizontal="right" vertical="center" wrapText="1"/>
    </xf>
    <xf numFmtId="0" fontId="11" fillId="0" borderId="46" xfId="16" applyFont="1" applyBorder="1" applyAlignment="1">
      <alignment horizontal="center" vertical="center" wrapText="1"/>
    </xf>
    <xf numFmtId="0" fontId="11" fillId="0" borderId="47" xfId="16" applyFont="1" applyBorder="1" applyAlignment="1">
      <alignment horizontal="center" vertical="center" wrapText="1"/>
    </xf>
    <xf numFmtId="0" fontId="11" fillId="0" borderId="32" xfId="16" applyFont="1" applyBorder="1" applyAlignment="1">
      <alignment horizontal="center" vertical="center" wrapText="1"/>
    </xf>
    <xf numFmtId="10" fontId="11" fillId="0" borderId="32" xfId="16" applyNumberFormat="1" applyFont="1" applyBorder="1" applyAlignment="1">
      <alignment horizontal="center" vertical="center" wrapText="1"/>
    </xf>
    <xf numFmtId="10" fontId="11" fillId="0" borderId="37" xfId="16" applyNumberFormat="1" applyFont="1" applyBorder="1" applyAlignment="1">
      <alignment horizontal="center" vertical="center" wrapText="1"/>
    </xf>
    <xf numFmtId="0" fontId="11" fillId="0" borderId="44" xfId="16" applyFont="1" applyBorder="1" applyAlignment="1">
      <alignment horizontal="center" vertical="center" wrapText="1"/>
    </xf>
    <xf numFmtId="0" fontId="11" fillId="0" borderId="45" xfId="16" applyFont="1" applyBorder="1" applyAlignment="1">
      <alignment horizontal="center" vertical="center" wrapText="1"/>
    </xf>
    <xf numFmtId="0" fontId="11" fillId="0" borderId="17" xfId="16" applyFont="1" applyBorder="1" applyAlignment="1">
      <alignment horizontal="center" vertical="center" wrapText="1"/>
    </xf>
    <xf numFmtId="10" fontId="11" fillId="0" borderId="17" xfId="16" applyNumberFormat="1" applyFont="1" applyBorder="1" applyAlignment="1">
      <alignment horizontal="center" vertical="center" wrapText="1"/>
    </xf>
    <xf numFmtId="10" fontId="11" fillId="0" borderId="18" xfId="16" applyNumberFormat="1" applyFont="1" applyBorder="1" applyAlignment="1">
      <alignment horizontal="center" vertical="center" wrapText="1"/>
    </xf>
    <xf numFmtId="0" fontId="11" fillId="0" borderId="41" xfId="16" applyFont="1" applyBorder="1" applyAlignment="1">
      <alignment horizontal="center" vertical="center" wrapText="1"/>
    </xf>
    <xf numFmtId="0" fontId="11" fillId="0" borderId="31" xfId="0" applyFont="1" applyBorder="1" applyAlignment="1">
      <alignment horizontal="center" vertical="center"/>
    </xf>
    <xf numFmtId="0" fontId="11" fillId="0" borderId="37" xfId="0" applyFont="1" applyBorder="1" applyAlignment="1">
      <alignment horizontal="center" vertical="center"/>
    </xf>
    <xf numFmtId="0" fontId="11" fillId="0" borderId="32" xfId="0" applyFont="1" applyBorder="1" applyAlignment="1">
      <alignment horizontal="center" vertical="center" wrapText="1"/>
    </xf>
    <xf numFmtId="0" fontId="11" fillId="0" borderId="37" xfId="0" applyFont="1" applyBorder="1" applyAlignment="1">
      <alignment horizontal="center" vertical="center" wrapText="1"/>
    </xf>
    <xf numFmtId="49" fontId="11" fillId="0" borderId="18" xfId="16" applyNumberFormat="1" applyFont="1" applyBorder="1" applyAlignment="1">
      <alignment horizontal="center" vertical="center" wrapText="1"/>
    </xf>
    <xf numFmtId="0" fontId="11" fillId="0" borderId="31" xfId="16" applyFont="1" applyBorder="1" applyAlignment="1">
      <alignment horizontal="left" vertical="center" wrapText="1"/>
    </xf>
    <xf numFmtId="0" fontId="11" fillId="0" borderId="37" xfId="16" applyFont="1" applyBorder="1" applyAlignment="1">
      <alignment horizontal="left" vertical="center" wrapText="1"/>
    </xf>
    <xf numFmtId="49" fontId="11" fillId="0" borderId="32" xfId="16" applyNumberFormat="1" applyFont="1" applyBorder="1" applyAlignment="1">
      <alignment horizontal="left" vertical="center" wrapText="1"/>
    </xf>
    <xf numFmtId="49" fontId="11" fillId="0" borderId="37" xfId="16" applyNumberFormat="1" applyFont="1" applyBorder="1" applyAlignment="1">
      <alignment horizontal="left" vertical="center" wrapText="1"/>
    </xf>
    <xf numFmtId="0" fontId="11" fillId="0" borderId="30" xfId="0" applyFont="1" applyBorder="1" applyAlignment="1">
      <alignment horizontal="center" vertical="center"/>
    </xf>
    <xf numFmtId="0" fontId="11" fillId="0" borderId="16" xfId="0" applyFont="1" applyBorder="1" applyAlignment="1">
      <alignment horizontal="center" vertical="center"/>
    </xf>
    <xf numFmtId="0" fontId="11" fillId="0" borderId="18" xfId="0" applyFont="1" applyBorder="1" applyAlignment="1">
      <alignment horizontal="center" vertical="center"/>
    </xf>
    <xf numFmtId="0" fontId="11" fillId="0" borderId="17" xfId="0" applyFont="1" applyBorder="1" applyAlignment="1">
      <alignment horizontal="center" vertical="center" wrapText="1"/>
    </xf>
    <xf numFmtId="0" fontId="11" fillId="0" borderId="16" xfId="0" applyFont="1" applyBorder="1" applyAlignment="1">
      <alignment horizontal="center" vertical="center" wrapText="1"/>
    </xf>
    <xf numFmtId="0" fontId="11" fillId="0" borderId="18" xfId="0" applyFont="1" applyBorder="1" applyAlignment="1">
      <alignment horizontal="center" vertical="center" wrapText="1"/>
    </xf>
    <xf numFmtId="0" fontId="11" fillId="0" borderId="43" xfId="0" applyFont="1" applyBorder="1" applyAlignment="1">
      <alignment horizontal="center" vertical="center" wrapText="1"/>
    </xf>
    <xf numFmtId="0" fontId="11" fillId="0" borderId="35" xfId="0" applyFont="1" applyBorder="1" applyAlignment="1">
      <alignment horizontal="center" vertical="center"/>
    </xf>
    <xf numFmtId="0" fontId="11" fillId="0" borderId="34" xfId="0" applyFont="1" applyBorder="1" applyAlignment="1">
      <alignment horizontal="center" vertical="center"/>
    </xf>
    <xf numFmtId="0" fontId="11" fillId="0" borderId="34" xfId="0" applyFont="1" applyBorder="1" applyAlignment="1">
      <alignment horizontal="center" vertical="center" wrapText="1"/>
    </xf>
    <xf numFmtId="0" fontId="11" fillId="0" borderId="41" xfId="0" applyFont="1" applyBorder="1" applyAlignment="1">
      <alignment horizontal="center" vertical="center" wrapText="1"/>
    </xf>
    <xf numFmtId="0" fontId="11" fillId="0" borderId="36" xfId="0" applyFont="1" applyBorder="1" applyAlignment="1">
      <alignment horizontal="center" vertical="center"/>
    </xf>
    <xf numFmtId="0" fontId="11" fillId="0" borderId="27" xfId="0" applyFont="1" applyBorder="1" applyAlignment="1">
      <alignment horizontal="center" vertical="center"/>
    </xf>
    <xf numFmtId="0" fontId="11" fillId="0" borderId="26" xfId="0" applyFont="1" applyBorder="1" applyAlignment="1">
      <alignment horizontal="center" vertical="center" wrapText="1"/>
    </xf>
    <xf numFmtId="0" fontId="11" fillId="0" borderId="27" xfId="0" applyFont="1" applyBorder="1" applyAlignment="1">
      <alignment horizontal="center" vertical="center" wrapText="1"/>
    </xf>
    <xf numFmtId="0" fontId="11" fillId="0" borderId="25" xfId="0" applyFont="1" applyBorder="1" applyAlignment="1">
      <alignment horizontal="center" vertical="center"/>
    </xf>
    <xf numFmtId="0" fontId="11" fillId="0" borderId="28" xfId="0" applyFont="1" applyBorder="1" applyAlignment="1">
      <alignment horizontal="center" vertical="center"/>
    </xf>
    <xf numFmtId="0" fontId="11" fillId="0" borderId="28" xfId="0" applyFont="1" applyBorder="1" applyAlignment="1">
      <alignment horizontal="center" vertical="center" wrapText="1"/>
    </xf>
    <xf numFmtId="0" fontId="11" fillId="0" borderId="42" xfId="0" applyFont="1" applyBorder="1" applyAlignment="1">
      <alignment horizontal="center" vertical="center" wrapText="1"/>
    </xf>
    <xf numFmtId="0" fontId="11" fillId="0" borderId="0" xfId="16" applyFont="1" applyAlignment="1">
      <alignment horizontal="left" vertical="top" wrapText="1"/>
    </xf>
    <xf numFmtId="49" fontId="11" fillId="0" borderId="33" xfId="16" applyNumberFormat="1" applyFont="1" applyBorder="1" applyAlignment="1">
      <alignment horizontal="center" vertical="center" wrapText="1"/>
    </xf>
    <xf numFmtId="0" fontId="72" fillId="0" borderId="0" xfId="16" applyFont="1" applyAlignment="1">
      <alignment horizontal="center" vertical="center"/>
    </xf>
    <xf numFmtId="183" fontId="21" fillId="0" borderId="10" xfId="16" applyNumberFormat="1" applyFont="1" applyBorder="1" applyAlignment="1">
      <alignment horizontal="left" vertical="center"/>
    </xf>
    <xf numFmtId="0" fontId="73" fillId="0" borderId="1" xfId="16" applyFont="1" applyBorder="1" applyAlignment="1">
      <alignment horizontal="center" vertical="center"/>
    </xf>
    <xf numFmtId="0" fontId="34" fillId="0" borderId="2" xfId="16" applyFont="1" applyBorder="1" applyAlignment="1">
      <alignment horizontal="center" vertical="center"/>
    </xf>
    <xf numFmtId="0" fontId="34" fillId="0" borderId="11" xfId="16" applyFont="1" applyBorder="1" applyAlignment="1">
      <alignment horizontal="center" vertical="center"/>
    </xf>
    <xf numFmtId="0" fontId="73" fillId="0" borderId="0" xfId="16" applyFont="1">
      <alignment vertical="center"/>
    </xf>
    <xf numFmtId="49" fontId="58" fillId="0" borderId="0" xfId="16" applyNumberFormat="1" applyFont="1" applyAlignment="1">
      <alignment horizontal="center" vertical="center"/>
    </xf>
    <xf numFmtId="0" fontId="11" fillId="0" borderId="23"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8" xfId="0" applyFont="1" applyBorder="1" applyAlignment="1">
      <alignment horizontal="left" vertical="top" wrapText="1"/>
    </xf>
    <xf numFmtId="0" fontId="11" fillId="0" borderId="0" xfId="0" applyFont="1" applyAlignment="1">
      <alignment horizontal="left" vertical="top" wrapText="1"/>
    </xf>
    <xf numFmtId="0" fontId="11" fillId="0" borderId="0" xfId="0" applyFont="1" applyAlignment="1">
      <alignment horizontal="center" vertical="center" wrapText="1"/>
    </xf>
    <xf numFmtId="0" fontId="11" fillId="0" borderId="7"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9"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8" xfId="0" applyFont="1" applyBorder="1" applyAlignment="1">
      <alignment horizontal="left" vertical="center" wrapText="1"/>
    </xf>
    <xf numFmtId="0" fontId="11" fillId="0" borderId="0" xfId="0" applyFont="1" applyAlignment="1">
      <alignment horizontal="left" vertical="center" wrapText="1"/>
    </xf>
    <xf numFmtId="179" fontId="11" fillId="0" borderId="0" xfId="0" applyNumberFormat="1" applyFont="1" applyAlignment="1">
      <alignment horizontal="center" vertical="center"/>
    </xf>
    <xf numFmtId="0" fontId="13" fillId="0" borderId="6" xfId="0" applyFont="1" applyBorder="1" applyAlignment="1">
      <alignment horizontal="center" vertical="center" wrapText="1"/>
    </xf>
    <xf numFmtId="0" fontId="69" fillId="0" borderId="6" xfId="0" applyFont="1" applyBorder="1" applyAlignment="1">
      <alignment vertical="center"/>
    </xf>
    <xf numFmtId="0" fontId="13" fillId="0" borderId="17" xfId="0" applyFont="1" applyBorder="1" applyAlignment="1">
      <alignment horizontal="center" vertical="center" wrapText="1"/>
    </xf>
    <xf numFmtId="0" fontId="13" fillId="0" borderId="18" xfId="0" applyFont="1" applyBorder="1" applyAlignment="1">
      <alignment horizontal="center" vertical="center" wrapText="1"/>
    </xf>
    <xf numFmtId="0" fontId="70" fillId="0" borderId="0" xfId="0" applyFont="1" applyAlignment="1">
      <alignment horizontal="center" vertical="center"/>
    </xf>
    <xf numFmtId="0" fontId="20" fillId="0" borderId="0" xfId="0" applyFont="1" applyAlignment="1">
      <alignment horizontal="left" vertical="center"/>
    </xf>
    <xf numFmtId="0" fontId="20" fillId="0" borderId="0" xfId="0" applyFont="1" applyAlignment="1">
      <alignment horizontal="left" vertical="center" wrapText="1"/>
    </xf>
    <xf numFmtId="0" fontId="33" fillId="0" borderId="6" xfId="16" applyFont="1" applyBorder="1" applyAlignment="1">
      <alignment horizontal="center" vertical="center"/>
    </xf>
    <xf numFmtId="0" fontId="34" fillId="0" borderId="6" xfId="16" applyFont="1" applyBorder="1" applyAlignment="1">
      <alignment horizontal="center" vertical="center"/>
    </xf>
    <xf numFmtId="0" fontId="11" fillId="0" borderId="17" xfId="0" applyFont="1" applyBorder="1" applyAlignment="1">
      <alignment horizontal="center" vertical="center"/>
    </xf>
    <xf numFmtId="43" fontId="9" fillId="0" borderId="0" xfId="3" applyFont="1" applyFill="1" applyBorder="1" applyAlignment="1">
      <alignment horizontal="center" vertical="center"/>
    </xf>
    <xf numFmtId="0" fontId="13" fillId="0" borderId="0" xfId="16" applyFont="1" applyAlignment="1">
      <alignment horizontal="center" vertical="center" wrapText="1"/>
    </xf>
    <xf numFmtId="0" fontId="13" fillId="0" borderId="0" xfId="11" applyFont="1" applyAlignment="1">
      <alignment horizontal="left" vertical="center"/>
    </xf>
    <xf numFmtId="0" fontId="13" fillId="0" borderId="20" xfId="11" applyFont="1" applyBorder="1" applyAlignment="1">
      <alignment horizontal="left" vertical="center"/>
    </xf>
    <xf numFmtId="0" fontId="38" fillId="0" borderId="7" xfId="16" quotePrefix="1" applyFont="1" applyBorder="1" applyAlignment="1">
      <alignment horizontal="left" wrapText="1"/>
    </xf>
    <xf numFmtId="0" fontId="38" fillId="0" borderId="8" xfId="16" applyFont="1" applyBorder="1" applyAlignment="1">
      <alignment horizontal="left" wrapText="1"/>
    </xf>
    <xf numFmtId="0" fontId="38" fillId="0" borderId="14" xfId="16" applyFont="1" applyBorder="1" applyAlignment="1">
      <alignment horizontal="left" wrapText="1"/>
    </xf>
    <xf numFmtId="0" fontId="38" fillId="0" borderId="19" xfId="16" applyFont="1" applyBorder="1" applyAlignment="1">
      <alignment horizontal="left" wrapText="1"/>
    </xf>
    <xf numFmtId="0" fontId="38" fillId="0" borderId="0" xfId="16" applyFont="1" applyAlignment="1">
      <alignment horizontal="left" wrapText="1"/>
    </xf>
    <xf numFmtId="0" fontId="38" fillId="0" borderId="20" xfId="16" applyFont="1" applyBorder="1" applyAlignment="1">
      <alignment horizontal="left" wrapText="1"/>
    </xf>
    <xf numFmtId="180" fontId="13" fillId="0" borderId="0" xfId="16" applyNumberFormat="1" applyFont="1" applyAlignment="1">
      <alignment horizontal="center" vertical="center"/>
    </xf>
    <xf numFmtId="0" fontId="13" fillId="0" borderId="0" xfId="11" applyFont="1" applyAlignment="1">
      <alignment horizontal="center" vertical="center"/>
    </xf>
    <xf numFmtId="0" fontId="13" fillId="0" borderId="20" xfId="11" applyFont="1" applyBorder="1" applyAlignment="1">
      <alignment horizontal="center" vertical="center"/>
    </xf>
    <xf numFmtId="0" fontId="38" fillId="0" borderId="0" xfId="11" applyFont="1" applyAlignment="1">
      <alignment horizontal="center" vertical="center"/>
    </xf>
    <xf numFmtId="0" fontId="49" fillId="0" borderId="0" xfId="10" applyFont="1" applyAlignment="1" applyProtection="1">
      <alignment horizontal="left" vertical="center"/>
      <protection locked="0"/>
    </xf>
    <xf numFmtId="0" fontId="13" fillId="0" borderId="17" xfId="16" applyFont="1" applyBorder="1" applyAlignment="1">
      <alignment horizontal="center" vertical="center"/>
    </xf>
    <xf numFmtId="0" fontId="13" fillId="0" borderId="16" xfId="16" applyFont="1" applyBorder="1" applyAlignment="1">
      <alignment horizontal="center" vertical="center"/>
    </xf>
    <xf numFmtId="0" fontId="13" fillId="0" borderId="18" xfId="16" applyFont="1" applyBorder="1" applyAlignment="1">
      <alignment horizontal="center" vertical="center"/>
    </xf>
    <xf numFmtId="0" fontId="6" fillId="0" borderId="0" xfId="16" applyFont="1" applyAlignment="1">
      <alignment horizontal="center" vertical="center"/>
    </xf>
    <xf numFmtId="0" fontId="64" fillId="0" borderId="0" xfId="16" applyFont="1" applyAlignment="1">
      <alignment horizontal="center" vertical="center"/>
    </xf>
    <xf numFmtId="183" fontId="14" fillId="0" borderId="0" xfId="16" applyNumberFormat="1" applyFont="1" applyAlignment="1">
      <alignment horizontal="left" vertical="center"/>
    </xf>
    <xf numFmtId="0" fontId="13" fillId="0" borderId="0" xfId="16" applyFont="1" applyAlignment="1">
      <alignment horizontal="left" vertical="center"/>
    </xf>
    <xf numFmtId="0" fontId="59" fillId="0" borderId="3" xfId="0" applyFont="1" applyBorder="1" applyAlignment="1">
      <alignment horizontal="left" vertical="center" wrapText="1"/>
    </xf>
    <xf numFmtId="0" fontId="59" fillId="0" borderId="0" xfId="0" applyFont="1" applyAlignment="1">
      <alignment horizontal="left" vertical="center" wrapText="1"/>
    </xf>
    <xf numFmtId="0" fontId="59" fillId="0" borderId="12" xfId="0" applyFont="1" applyBorder="1" applyAlignment="1">
      <alignment horizontal="left" vertical="center" wrapText="1"/>
    </xf>
    <xf numFmtId="0" fontId="62" fillId="0" borderId="3" xfId="0" applyFont="1" applyBorder="1" applyAlignment="1">
      <alignment horizontal="center" vertical="center" wrapText="1"/>
    </xf>
    <xf numFmtId="0" fontId="62" fillId="0" borderId="0" xfId="0" applyFont="1" applyAlignment="1">
      <alignment horizontal="center" vertical="center" wrapText="1"/>
    </xf>
    <xf numFmtId="0" fontId="62" fillId="0" borderId="12" xfId="0" applyFont="1" applyBorder="1" applyAlignment="1">
      <alignment horizontal="center" vertical="center" wrapText="1"/>
    </xf>
    <xf numFmtId="0" fontId="62" fillId="0" borderId="4" xfId="0" applyFont="1" applyBorder="1" applyAlignment="1">
      <alignment horizontal="center" vertical="center" wrapText="1"/>
    </xf>
    <xf numFmtId="0" fontId="62" fillId="0" borderId="5" xfId="0" applyFont="1" applyBorder="1" applyAlignment="1">
      <alignment horizontal="center" vertical="center" wrapText="1"/>
    </xf>
    <xf numFmtId="0" fontId="62" fillId="0" borderId="13" xfId="0" applyFont="1" applyBorder="1" applyAlignment="1">
      <alignment horizontal="center" vertical="center" wrapText="1"/>
    </xf>
    <xf numFmtId="0" fontId="59" fillId="0" borderId="6" xfId="0" applyFont="1" applyBorder="1" applyAlignment="1">
      <alignment horizontal="center" vertical="center" wrapText="1"/>
    </xf>
    <xf numFmtId="0" fontId="60" fillId="0" borderId="1" xfId="0" applyFont="1" applyBorder="1" applyAlignment="1">
      <alignment horizontal="left" vertical="center" wrapText="1"/>
    </xf>
    <xf numFmtId="0" fontId="60" fillId="0" borderId="2" xfId="0" applyFont="1" applyBorder="1" applyAlignment="1">
      <alignment horizontal="left" vertical="center" wrapText="1"/>
    </xf>
    <xf numFmtId="0" fontId="60" fillId="0" borderId="11" xfId="0" applyFont="1" applyBorder="1" applyAlignment="1">
      <alignment horizontal="left" vertical="center" wrapText="1"/>
    </xf>
    <xf numFmtId="0" fontId="59" fillId="0" borderId="1" xfId="0" applyFont="1" applyBorder="1" applyAlignment="1">
      <alignment horizontal="center" vertical="center" wrapText="1"/>
    </xf>
    <xf numFmtId="0" fontId="59" fillId="0" borderId="2" xfId="0" applyFont="1" applyBorder="1" applyAlignment="1">
      <alignment horizontal="center" vertical="center" wrapText="1"/>
    </xf>
    <xf numFmtId="0" fontId="59" fillId="0" borderId="11" xfId="0" applyFont="1" applyBorder="1" applyAlignment="1">
      <alignment horizontal="center" vertical="center" wrapText="1"/>
    </xf>
    <xf numFmtId="0" fontId="59" fillId="0" borderId="0" xfId="0" applyFont="1" applyAlignment="1">
      <alignment horizontal="left" vertical="top" wrapText="1"/>
    </xf>
    <xf numFmtId="0" fontId="62" fillId="0" borderId="8" xfId="0" applyFont="1" applyBorder="1" applyAlignment="1">
      <alignment horizontal="left" wrapText="1"/>
    </xf>
    <xf numFmtId="0" fontId="62" fillId="0" borderId="0" xfId="0" applyFont="1" applyAlignment="1">
      <alignment horizontal="left" wrapText="1"/>
    </xf>
    <xf numFmtId="0" fontId="59" fillId="0" borderId="17" xfId="0" applyFont="1" applyBorder="1" applyAlignment="1">
      <alignment horizontal="center" vertical="center" wrapText="1"/>
    </xf>
    <xf numFmtId="0" fontId="59" fillId="0" borderId="16" xfId="0" applyFont="1" applyBorder="1" applyAlignment="1">
      <alignment horizontal="center" vertical="center" wrapText="1"/>
    </xf>
    <xf numFmtId="0" fontId="59" fillId="0" borderId="18" xfId="0" applyFont="1" applyBorder="1" applyAlignment="1">
      <alignment horizontal="center" vertical="center" wrapText="1"/>
    </xf>
    <xf numFmtId="0" fontId="59" fillId="0" borderId="0" xfId="0" applyFont="1" applyAlignment="1">
      <alignment horizontal="center" vertical="center" wrapText="1"/>
    </xf>
    <xf numFmtId="0" fontId="62" fillId="0" borderId="19" xfId="0" applyFont="1" applyBorder="1" applyAlignment="1">
      <alignment horizontal="left"/>
    </xf>
    <xf numFmtId="0" fontId="62" fillId="0" borderId="0" xfId="0" applyFont="1" applyAlignment="1">
      <alignment horizontal="left"/>
    </xf>
    <xf numFmtId="0" fontId="0" fillId="0" borderId="0" xfId="0" applyAlignment="1">
      <alignment horizontal="center" wrapText="1"/>
    </xf>
    <xf numFmtId="0" fontId="16" fillId="0" borderId="0" xfId="16" applyFont="1" applyAlignment="1">
      <alignment horizontal="left" vertical="center" wrapText="1"/>
    </xf>
    <xf numFmtId="43" fontId="16" fillId="0" borderId="6" xfId="21" applyFont="1" applyBorder="1" applyAlignment="1">
      <alignment horizontal="center" vertical="center"/>
    </xf>
    <xf numFmtId="0" fontId="21" fillId="0" borderId="0" xfId="0" applyFont="1" applyAlignment="1">
      <alignment horizontal="left" vertical="center" wrapText="1"/>
    </xf>
    <xf numFmtId="0" fontId="16" fillId="0" borderId="0" xfId="16" applyFont="1" applyAlignment="1">
      <alignment horizontal="center" vertical="center"/>
    </xf>
    <xf numFmtId="31" fontId="16" fillId="0" borderId="0" xfId="16" applyNumberFormat="1" applyFont="1" applyAlignment="1">
      <alignment horizontal="center" vertical="center"/>
    </xf>
    <xf numFmtId="43" fontId="16" fillId="0" borderId="6" xfId="21" applyFont="1" applyFill="1" applyBorder="1" applyAlignment="1">
      <alignment horizontal="center" vertical="center" wrapText="1"/>
    </xf>
    <xf numFmtId="0" fontId="16" fillId="0" borderId="6" xfId="16" applyFont="1" applyFill="1" applyBorder="1" applyAlignment="1">
      <alignment horizontal="center" vertical="center" wrapText="1"/>
    </xf>
    <xf numFmtId="43" fontId="16" fillId="0" borderId="6" xfId="21" applyFont="1" applyBorder="1" applyAlignment="1">
      <alignment horizontal="center" vertical="center" wrapText="1"/>
    </xf>
    <xf numFmtId="0" fontId="16" fillId="0" borderId="6" xfId="16" applyFont="1" applyBorder="1" applyAlignment="1">
      <alignment horizontal="center" vertical="center" wrapText="1"/>
    </xf>
    <xf numFmtId="0" fontId="55" fillId="0" borderId="6" xfId="0" applyFont="1" applyBorder="1" applyAlignment="1" applyProtection="1">
      <alignment horizontal="center" vertical="center" wrapText="1"/>
      <protection locked="0"/>
    </xf>
    <xf numFmtId="43" fontId="51" fillId="0" borderId="6" xfId="24" applyFont="1" applyBorder="1" applyAlignment="1" applyProtection="1">
      <alignment horizontal="center" vertical="center" wrapText="1"/>
      <protection locked="0"/>
    </xf>
    <xf numFmtId="43" fontId="51" fillId="0" borderId="6" xfId="3" applyFont="1" applyBorder="1" applyAlignment="1">
      <alignment horizontal="center" vertical="center" wrapText="1"/>
    </xf>
    <xf numFmtId="43" fontId="9" fillId="3" borderId="17" xfId="3" applyFont="1" applyFill="1" applyBorder="1" applyAlignment="1">
      <alignment horizontal="center" vertical="center"/>
    </xf>
    <xf numFmtId="43" fontId="9" fillId="3" borderId="16" xfId="3" applyFont="1" applyFill="1" applyBorder="1" applyAlignment="1">
      <alignment horizontal="center" vertical="center"/>
    </xf>
    <xf numFmtId="43" fontId="9" fillId="3" borderId="18" xfId="3" applyFont="1" applyFill="1" applyBorder="1" applyAlignment="1">
      <alignment horizontal="center" vertical="center"/>
    </xf>
    <xf numFmtId="43" fontId="14" fillId="0" borderId="0" xfId="3" applyFont="1" applyAlignment="1" applyProtection="1">
      <alignment horizontal="right" vertical="center"/>
      <protection locked="0"/>
    </xf>
    <xf numFmtId="0" fontId="42" fillId="0" borderId="0" xfId="10" applyFont="1" applyAlignment="1" applyProtection="1">
      <alignment horizontal="right" vertical="center"/>
      <protection locked="0"/>
    </xf>
    <xf numFmtId="14" fontId="42" fillId="0" borderId="0" xfId="10" applyNumberFormat="1" applyFont="1" applyAlignment="1" applyProtection="1">
      <alignment horizontal="right" vertical="center"/>
      <protection locked="0"/>
    </xf>
    <xf numFmtId="31" fontId="42" fillId="0" borderId="0" xfId="10" applyNumberFormat="1" applyFont="1" applyAlignment="1" applyProtection="1">
      <alignment horizontal="right" vertical="center"/>
      <protection locked="0"/>
    </xf>
    <xf numFmtId="0" fontId="14" fillId="0" borderId="7" xfId="10" applyFont="1" applyBorder="1" applyAlignment="1" applyProtection="1">
      <alignment horizontal="left" vertical="center" wrapText="1"/>
      <protection locked="0"/>
    </xf>
    <xf numFmtId="0" fontId="14" fillId="0" borderId="8" xfId="10" applyFont="1" applyBorder="1" applyAlignment="1" applyProtection="1">
      <alignment horizontal="left" vertical="center" wrapText="1"/>
      <protection locked="0"/>
    </xf>
    <xf numFmtId="0" fontId="14" fillId="0" borderId="14" xfId="10" applyFont="1" applyBorder="1" applyAlignment="1" applyProtection="1">
      <alignment horizontal="left" vertical="center" wrapText="1"/>
      <protection locked="0"/>
    </xf>
    <xf numFmtId="0" fontId="44" fillId="0" borderId="0" xfId="10" applyFont="1" applyAlignment="1" applyProtection="1">
      <alignment horizontal="right" vertical="center"/>
      <protection locked="0"/>
    </xf>
    <xf numFmtId="0" fontId="42" fillId="0" borderId="0" xfId="10" applyFont="1" applyAlignment="1" applyProtection="1">
      <alignment horizontal="left" vertical="center"/>
      <protection locked="0"/>
    </xf>
    <xf numFmtId="0" fontId="42" fillId="0" borderId="8" xfId="10" applyFont="1" applyBorder="1" applyAlignment="1" applyProtection="1">
      <alignment horizontal="left" vertical="center" wrapText="1"/>
      <protection locked="0"/>
    </xf>
    <xf numFmtId="0" fontId="42" fillId="0" borderId="0" xfId="10" applyFont="1" applyAlignment="1" applyProtection="1">
      <alignment horizontal="left" vertical="center" wrapText="1"/>
      <protection locked="0"/>
    </xf>
    <xf numFmtId="0" fontId="47" fillId="0" borderId="0" xfId="10" applyFont="1" applyAlignment="1" applyProtection="1">
      <alignment horizontal="left" vertical="center" wrapText="1"/>
      <protection locked="0"/>
    </xf>
    <xf numFmtId="0" fontId="14" fillId="0" borderId="0" xfId="16" applyFont="1" applyAlignment="1">
      <alignment horizontal="center" vertical="center"/>
    </xf>
    <xf numFmtId="43" fontId="9" fillId="3" borderId="6" xfId="3" applyFont="1" applyFill="1" applyBorder="1" applyAlignment="1">
      <alignment horizontal="center" vertical="center"/>
    </xf>
    <xf numFmtId="0" fontId="40" fillId="0" borderId="6" xfId="16" applyFont="1" applyFill="1" applyBorder="1" applyAlignment="1">
      <alignment horizontal="center" vertical="center" wrapText="1"/>
    </xf>
    <xf numFmtId="0" fontId="14" fillId="0" borderId="6" xfId="16" applyFont="1" applyFill="1" applyBorder="1" applyAlignment="1">
      <alignment horizontal="center" vertical="center" wrapText="1"/>
    </xf>
    <xf numFmtId="0" fontId="14" fillId="0" borderId="0" xfId="16" applyFont="1" applyAlignment="1">
      <alignment horizontal="left" vertical="center" wrapText="1"/>
    </xf>
    <xf numFmtId="43" fontId="14" fillId="0" borderId="0" xfId="3" applyFont="1" applyAlignment="1">
      <alignment horizontal="center" vertical="center" wrapText="1"/>
    </xf>
    <xf numFmtId="0" fontId="20" fillId="0" borderId="0" xfId="16" applyFont="1" applyAlignment="1">
      <alignment horizontal="left" vertical="center" wrapText="1"/>
    </xf>
    <xf numFmtId="0" fontId="26" fillId="0" borderId="0" xfId="14" applyFont="1" applyAlignment="1">
      <alignment horizontal="center"/>
    </xf>
    <xf numFmtId="0" fontId="31" fillId="0" borderId="8" xfId="14" applyFont="1" applyBorder="1" applyAlignment="1">
      <alignment horizontal="left" vertical="top" wrapText="1"/>
    </xf>
    <xf numFmtId="0" fontId="31" fillId="0" borderId="14" xfId="14" applyFont="1" applyBorder="1" applyAlignment="1">
      <alignment horizontal="left" vertical="top" wrapText="1"/>
    </xf>
    <xf numFmtId="0" fontId="11" fillId="0" borderId="0" xfId="14" applyFont="1" applyAlignment="1">
      <alignment horizontal="left" vertical="top" wrapText="1"/>
    </xf>
    <xf numFmtId="0" fontId="29" fillId="0" borderId="0" xfId="14" applyFont="1" applyAlignment="1">
      <alignment horizontal="center" vertical="center"/>
    </xf>
    <xf numFmtId="0" fontId="27" fillId="0" borderId="0" xfId="14" applyFont="1" applyAlignment="1">
      <alignment horizontal="center" vertical="center"/>
    </xf>
    <xf numFmtId="0" fontId="11" fillId="0" borderId="0" xfId="14" applyFont="1" applyAlignment="1">
      <alignment horizontal="left" vertical="center"/>
    </xf>
    <xf numFmtId="0" fontId="26" fillId="0" borderId="0" xfId="14" applyFont="1" applyAlignment="1">
      <alignment horizontal="left" vertical="center"/>
    </xf>
    <xf numFmtId="0" fontId="25" fillId="0" borderId="10" xfId="14" applyBorder="1" applyAlignment="1">
      <alignment horizontal="center" vertical="center"/>
    </xf>
    <xf numFmtId="0" fontId="35" fillId="0" borderId="6" xfId="14" applyFont="1" applyBorder="1" applyAlignment="1">
      <alignment horizontal="center" vertical="center"/>
    </xf>
    <xf numFmtId="0" fontId="26" fillId="0" borderId="6" xfId="14" applyFont="1" applyBorder="1" applyAlignment="1">
      <alignment horizontal="center" vertical="center"/>
    </xf>
    <xf numFmtId="0" fontId="26" fillId="0" borderId="17" xfId="14" applyFont="1" applyBorder="1" applyAlignment="1">
      <alignment horizontal="left" vertical="center"/>
    </xf>
    <xf numFmtId="0" fontId="26" fillId="0" borderId="16" xfId="14" applyFont="1" applyBorder="1" applyAlignment="1">
      <alignment horizontal="left" vertical="center"/>
    </xf>
    <xf numFmtId="0" fontId="26" fillId="0" borderId="18" xfId="14" applyFont="1" applyBorder="1" applyAlignment="1">
      <alignment horizontal="left" vertical="center"/>
    </xf>
    <xf numFmtId="0" fontId="14" fillId="0" borderId="17" xfId="16" applyFont="1" applyBorder="1" applyAlignment="1">
      <alignment horizontal="center" vertical="center" wrapText="1"/>
    </xf>
    <xf numFmtId="0" fontId="14" fillId="0" borderId="16" xfId="16" applyFont="1" applyBorder="1" applyAlignment="1">
      <alignment horizontal="center" vertical="center" wrapText="1"/>
    </xf>
    <xf numFmtId="0" fontId="14" fillId="0" borderId="18" xfId="16" applyFont="1" applyBorder="1" applyAlignment="1">
      <alignment horizontal="center" vertical="center" wrapText="1"/>
    </xf>
    <xf numFmtId="0" fontId="6" fillId="0" borderId="3" xfId="0" applyFont="1" applyBorder="1" applyAlignment="1">
      <alignment horizontal="center" vertical="center" wrapText="1"/>
    </xf>
    <xf numFmtId="0" fontId="6" fillId="0" borderId="0" xfId="0" applyFont="1" applyAlignment="1">
      <alignment horizontal="center" vertical="center" wrapText="1"/>
    </xf>
    <xf numFmtId="0" fontId="8" fillId="0" borderId="6" xfId="0" applyFont="1" applyFill="1" applyBorder="1" applyAlignment="1">
      <alignment horizontal="center" vertical="center" wrapText="1"/>
    </xf>
    <xf numFmtId="0" fontId="1" fillId="0" borderId="6" xfId="0" applyFont="1" applyFill="1" applyBorder="1" applyAlignment="1">
      <alignment horizontal="center" vertical="center" wrapText="1"/>
    </xf>
    <xf numFmtId="0" fontId="1" fillId="4" borderId="6" xfId="0" applyFont="1" applyFill="1" applyBorder="1" applyAlignment="1">
      <alignment vertical="center" wrapText="1"/>
    </xf>
    <xf numFmtId="0" fontId="8" fillId="4" borderId="6" xfId="0" applyFont="1" applyFill="1" applyBorder="1" applyAlignment="1">
      <alignment vertical="center" wrapText="1"/>
    </xf>
    <xf numFmtId="0" fontId="1" fillId="0" borderId="6" xfId="0" applyFont="1" applyFill="1" applyBorder="1" applyAlignment="1">
      <alignment horizontal="center" wrapText="1"/>
    </xf>
    <xf numFmtId="0" fontId="1" fillId="2" borderId="6" xfId="0" applyFont="1" applyFill="1" applyBorder="1" applyAlignment="1">
      <alignment horizontal="center" wrapText="1"/>
    </xf>
    <xf numFmtId="43" fontId="1" fillId="2" borderId="6" xfId="3" applyFont="1" applyFill="1" applyBorder="1" applyAlignment="1">
      <alignment horizontal="center" vertical="center"/>
    </xf>
    <xf numFmtId="14" fontId="1" fillId="0" borderId="0" xfId="0" applyNumberFormat="1" applyFont="1" applyAlignment="1">
      <alignment horizontal="center" vertical="center"/>
    </xf>
    <xf numFmtId="0" fontId="1" fillId="0" borderId="0" xfId="0" applyFont="1" applyAlignment="1">
      <alignment horizontal="center" vertical="center"/>
    </xf>
    <xf numFmtId="0" fontId="1" fillId="0" borderId="12" xfId="0" applyFont="1" applyBorder="1" applyAlignment="1">
      <alignment horizontal="center" vertical="center"/>
    </xf>
    <xf numFmtId="14" fontId="1" fillId="0" borderId="5" xfId="0" applyNumberFormat="1" applyFont="1" applyBorder="1" applyAlignment="1">
      <alignment horizontal="center" vertical="center"/>
    </xf>
    <xf numFmtId="0" fontId="1" fillId="0" borderId="5" xfId="0" applyFont="1" applyBorder="1" applyAlignment="1">
      <alignment horizontal="center" vertical="center"/>
    </xf>
    <xf numFmtId="0" fontId="1" fillId="0" borderId="13" xfId="0" applyFont="1" applyBorder="1" applyAlignment="1">
      <alignment horizontal="center" vertical="center"/>
    </xf>
  </cellXfs>
  <cellStyles count="27">
    <cellStyle name="Comma 2" xfId="7" xr:uid="{00000000-0005-0000-0000-000013000000}"/>
    <cellStyle name="Normal 2" xfId="10" xr:uid="{00000000-0005-0000-0000-000031000000}"/>
    <cellStyle name="百分比 2" xfId="6" xr:uid="{00000000-0005-0000-0000-000010000000}"/>
    <cellStyle name="常规" xfId="0" builtinId="0"/>
    <cellStyle name="常规 10" xfId="13" xr:uid="{00000000-0005-0000-0000-000039000000}"/>
    <cellStyle name="常规 108" xfId="9" xr:uid="{00000000-0005-0000-0000-00002C000000}"/>
    <cellStyle name="常规 2" xfId="14" xr:uid="{00000000-0005-0000-0000-00003C000000}"/>
    <cellStyle name="常规 2 2" xfId="12" xr:uid="{00000000-0005-0000-0000-000035000000}"/>
    <cellStyle name="常规 3" xfId="15" xr:uid="{00000000-0005-0000-0000-00003D000000}"/>
    <cellStyle name="常规_1-1流动资产底稿（不含交易性金融资产）" xfId="16" xr:uid="{00000000-0005-0000-0000-00003E000000}"/>
    <cellStyle name="常规_1-1流动资产底稿（不含交易性金融资产） 2 2" xfId="2" xr:uid="{00000000-0005-0000-0000-000007000000}"/>
    <cellStyle name="常规_494-496" xfId="1" xr:uid="{00000000-0005-0000-0000-000002000000}"/>
    <cellStyle name="常规_A2－交易性金融资产" xfId="11" xr:uid="{00000000-0005-0000-0000-000033000000}"/>
    <cellStyle name="常规_函证" xfId="17" xr:uid="{00000000-0005-0000-0000-00003F000000}"/>
    <cellStyle name="常规_货币资金C" xfId="8" xr:uid="{00000000-0005-0000-0000-000025000000}"/>
    <cellStyle name="常规_控制测试底稿" xfId="5" xr:uid="{00000000-0005-0000-0000-00000D000000}"/>
    <cellStyle name="常规_项目实施的分析程序（F122-BF25）" xfId="18" xr:uid="{00000000-0005-0000-0000-000040000000}"/>
    <cellStyle name="常规_应收账款 3" xfId="19" xr:uid="{00000000-0005-0000-0000-000041000000}"/>
    <cellStyle name="常规_资产类" xfId="20" xr:uid="{00000000-0005-0000-0000-000042000000}"/>
    <cellStyle name="超链接" xfId="4" builtinId="8"/>
    <cellStyle name="千位分隔" xfId="3" builtinId="3"/>
    <cellStyle name="千位分隔 2" xfId="21" xr:uid="{00000000-0005-0000-0000-000043000000}"/>
    <cellStyle name="千位分隔 3" xfId="22" xr:uid="{00000000-0005-0000-0000-000044000000}"/>
    <cellStyle name="千位分隔 36" xfId="23" xr:uid="{00000000-0005-0000-0000-000045000000}"/>
    <cellStyle name="千位分隔 42" xfId="24" xr:uid="{00000000-0005-0000-0000-000046000000}"/>
    <cellStyle name="千位分隔 42 2" xfId="25" xr:uid="{00000000-0005-0000-0000-000047000000}"/>
    <cellStyle name="千位分隔[0] 6" xfId="26" xr:uid="{00000000-0005-0000-0000-000048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398780</xdr:colOff>
          <xdr:row>1</xdr:row>
          <xdr:rowOff>23495</xdr:rowOff>
        </xdr:from>
        <xdr:to>
          <xdr:col>12</xdr:col>
          <xdr:colOff>469170</xdr:colOff>
          <xdr:row>8</xdr:row>
          <xdr:rowOff>74295</xdr:rowOff>
        </xdr:to>
        <xdr:grpSp>
          <xdr:nvGrpSpPr>
            <xdr:cNvPr id="3" name="组合 2">
              <a:extLst>
                <a:ext uri="{FF2B5EF4-FFF2-40B4-BE49-F238E27FC236}">
                  <a16:creationId xmlns:a16="http://schemas.microsoft.com/office/drawing/2014/main" id="{00000000-0008-0000-0100-000003000000}"/>
                </a:ext>
              </a:extLst>
            </xdr:cNvPr>
            <xdr:cNvGrpSpPr/>
          </xdr:nvGrpSpPr>
          <xdr:grpSpPr>
            <a:xfrm>
              <a:off x="4068707" y="482936"/>
              <a:ext cx="5466022" cy="1266639"/>
              <a:chOff x="4311087" y="495300"/>
              <a:chExt cx="5836198" cy="1295399"/>
            </a:xfrm>
          </xdr:grpSpPr>
          <xdr:sp macro="" textlink="">
            <xdr:nvSpPr>
              <xdr:cNvPr id="12297" name="Button 9" hidden="1">
                <a:extLst>
                  <a:ext uri="{63B3BB69-23CF-44E3-9099-C40C66FF867C}">
                    <a14:compatExt spid="_x0000_s12297"/>
                  </a:ext>
                  <a:ext uri="{FF2B5EF4-FFF2-40B4-BE49-F238E27FC236}">
                    <a16:creationId xmlns:a16="http://schemas.microsoft.com/office/drawing/2014/main" id="{00000000-0008-0000-0100-000009300000}"/>
                  </a:ext>
                </a:extLst>
              </xdr:cNvPr>
              <xdr:cNvSpPr/>
            </xdr:nvSpPr>
            <xdr:spPr bwMode="auto">
              <a:xfrm>
                <a:off x="7340584" y="495300"/>
                <a:ext cx="1283215"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生成数据表</a:t>
                </a:r>
              </a:p>
            </xdr:txBody>
          </xdr:sp>
          <xdr:sp macro="" textlink="">
            <xdr:nvSpPr>
              <xdr:cNvPr id="12299" name="Button 11" hidden="1">
                <a:extLst>
                  <a:ext uri="{63B3BB69-23CF-44E3-9099-C40C66FF867C}">
                    <a14:compatExt spid="_x0000_s12299"/>
                  </a:ext>
                  <a:ext uri="{FF2B5EF4-FFF2-40B4-BE49-F238E27FC236}">
                    <a16:creationId xmlns:a16="http://schemas.microsoft.com/office/drawing/2014/main" id="{00000000-0008-0000-0100-00000B300000}"/>
                  </a:ext>
                </a:extLst>
              </xdr:cNvPr>
              <xdr:cNvSpPr/>
            </xdr:nvSpPr>
            <xdr:spPr bwMode="auto">
              <a:xfrm>
                <a:off x="8864071" y="495300"/>
                <a:ext cx="1283214"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删除数据表</a:t>
                </a:r>
              </a:p>
            </xdr:txBody>
          </xdr:sp>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100-00000C300000}"/>
                  </a:ext>
                </a:extLst>
              </xdr:cNvPr>
              <xdr:cNvSpPr/>
            </xdr:nvSpPr>
            <xdr:spPr bwMode="auto">
              <a:xfrm>
                <a:off x="4318001" y="984250"/>
                <a:ext cx="1283204"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生成询证函</a:t>
                </a:r>
              </a:p>
            </xdr:txBody>
          </xdr:sp>
          <xdr:sp macro="" textlink="">
            <xdr:nvSpPr>
              <xdr:cNvPr id="12301" name="Button 13" hidden="1">
                <a:extLst>
                  <a:ext uri="{63B3BB69-23CF-44E3-9099-C40C66FF867C}">
                    <a14:compatExt spid="_x0000_s12301"/>
                  </a:ext>
                  <a:ext uri="{FF2B5EF4-FFF2-40B4-BE49-F238E27FC236}">
                    <a16:creationId xmlns:a16="http://schemas.microsoft.com/office/drawing/2014/main" id="{00000000-0008-0000-0100-00000D300000}"/>
                  </a:ext>
                </a:extLst>
              </xdr:cNvPr>
              <xdr:cNvSpPr/>
            </xdr:nvSpPr>
            <xdr:spPr bwMode="auto">
              <a:xfrm>
                <a:off x="5809799" y="971550"/>
                <a:ext cx="1283215"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删除询证函</a:t>
                </a:r>
              </a:p>
            </xdr:txBody>
          </xdr:sp>
          <xdr:sp macro="" textlink="">
            <xdr:nvSpPr>
              <xdr:cNvPr id="12303" name="Button 15" hidden="1">
                <a:extLst>
                  <a:ext uri="{63B3BB69-23CF-44E3-9099-C40C66FF867C}">
                    <a14:compatExt spid="_x0000_s12303"/>
                  </a:ext>
                  <a:ext uri="{FF2B5EF4-FFF2-40B4-BE49-F238E27FC236}">
                    <a16:creationId xmlns:a16="http://schemas.microsoft.com/office/drawing/2014/main" id="{00000000-0008-0000-0100-00000F300000}"/>
                  </a:ext>
                </a:extLst>
              </xdr:cNvPr>
              <xdr:cNvSpPr/>
            </xdr:nvSpPr>
            <xdr:spPr bwMode="auto">
              <a:xfrm>
                <a:off x="4311087" y="1466850"/>
                <a:ext cx="1283203"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连号生成PDF</a:t>
                </a:r>
              </a:p>
            </xdr:txBody>
          </xdr:sp>
          <xdr:sp macro="" textlink="">
            <xdr:nvSpPr>
              <xdr:cNvPr id="12304" name="Button 16" hidden="1">
                <a:extLst>
                  <a:ext uri="{63B3BB69-23CF-44E3-9099-C40C66FF867C}">
                    <a14:compatExt spid="_x0000_s12304"/>
                  </a:ext>
                  <a:ext uri="{FF2B5EF4-FFF2-40B4-BE49-F238E27FC236}">
                    <a16:creationId xmlns:a16="http://schemas.microsoft.com/office/drawing/2014/main" id="{00000000-0008-0000-0100-000010300000}"/>
                  </a:ext>
                </a:extLst>
              </xdr:cNvPr>
              <xdr:cNvSpPr/>
            </xdr:nvSpPr>
            <xdr:spPr bwMode="auto">
              <a:xfrm>
                <a:off x="4311634" y="508000"/>
                <a:ext cx="1283215"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显示模板</a:t>
                </a:r>
              </a:p>
            </xdr:txBody>
          </xdr:sp>
          <xdr:sp macro="" textlink="">
            <xdr:nvSpPr>
              <xdr:cNvPr id="12305" name="Button 17" hidden="1">
                <a:extLst>
                  <a:ext uri="{63B3BB69-23CF-44E3-9099-C40C66FF867C}">
                    <a14:compatExt spid="_x0000_s12305"/>
                  </a:ext>
                  <a:ext uri="{FF2B5EF4-FFF2-40B4-BE49-F238E27FC236}">
                    <a16:creationId xmlns:a16="http://schemas.microsoft.com/office/drawing/2014/main" id="{00000000-0008-0000-0100-000011300000}"/>
                  </a:ext>
                </a:extLst>
              </xdr:cNvPr>
              <xdr:cNvSpPr/>
            </xdr:nvSpPr>
            <xdr:spPr bwMode="auto">
              <a:xfrm>
                <a:off x="5809828" y="495300"/>
                <a:ext cx="1283215" cy="31750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隐藏模板</a:t>
                </a:r>
              </a:p>
            </xdr:txBody>
          </xdr:sp>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100-000015300000}"/>
                  </a:ext>
                </a:extLst>
              </xdr:cNvPr>
              <xdr:cNvSpPr/>
            </xdr:nvSpPr>
            <xdr:spPr bwMode="auto">
              <a:xfrm>
                <a:off x="5816601" y="1473200"/>
                <a:ext cx="1282700" cy="317499"/>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41148" rIns="45720" bIns="41148" anchor="ctr" upright="1"/>
              <a:lstStyle/>
              <a:p>
                <a:pPr algn="ctr" rtl="0">
                  <a:defRPr sz="1000"/>
                </a:pPr>
                <a:r>
                  <a:rPr lang="zh-CN" altLang="en-US" sz="1100" b="0" i="0" u="none" strike="noStrike" baseline="0">
                    <a:solidFill>
                      <a:srgbClr val="000000"/>
                    </a:solidFill>
                    <a:latin typeface="等线"/>
                    <a:ea typeface="等线"/>
                  </a:rPr>
                  <a:t>选号生成PDF</a:t>
                </a:r>
              </a:p>
            </xdr:txBody>
          </xdr:sp>
        </xdr:grp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65"/>
  <sheetViews>
    <sheetView tabSelected="1" zoomScale="115" zoomScaleNormal="115" workbookViewId="0">
      <pane xSplit="2" ySplit="1" topLeftCell="C2" activePane="bottomRight" state="frozen"/>
      <selection pane="topRight"/>
      <selection pane="bottomLeft"/>
      <selection pane="bottomRight" activeCell="B2" sqref="B2"/>
    </sheetView>
  </sheetViews>
  <sheetFormatPr defaultColWidth="9" defaultRowHeight="13.9"/>
  <cols>
    <col min="1" max="1" width="6.33203125" customWidth="1"/>
    <col min="2" max="2" width="18.06640625" customWidth="1"/>
    <col min="3" max="3" width="15.265625" customWidth="1"/>
    <col min="4" max="4" width="16.59765625" customWidth="1"/>
    <col min="5" max="5" width="12.59765625" customWidth="1"/>
    <col min="6" max="6" width="13.59765625" customWidth="1"/>
    <col min="9" max="10" width="10" customWidth="1"/>
    <col min="14" max="14" width="16.06640625" customWidth="1"/>
  </cols>
  <sheetData>
    <row r="1" spans="1:14" ht="34.15">
      <c r="A1" s="584" t="s">
        <v>0</v>
      </c>
      <c r="B1" s="585" t="s">
        <v>1</v>
      </c>
      <c r="C1" s="586" t="s">
        <v>2</v>
      </c>
      <c r="D1" s="586"/>
      <c r="E1" s="586"/>
      <c r="F1" s="586"/>
      <c r="G1" s="586"/>
      <c r="H1" s="587" t="str">
        <f>HYPERLINK("#基本信息!I1","返回基本信息")</f>
        <v>返回基本信息</v>
      </c>
      <c r="I1" s="597"/>
      <c r="J1" s="586"/>
      <c r="K1" s="587" t="str">
        <f>HYPERLINK("#操作平台!A3","返回操作平台")</f>
        <v>返回操作平台</v>
      </c>
      <c r="L1" s="586"/>
      <c r="M1" s="598"/>
      <c r="N1" s="591"/>
    </row>
    <row r="2" spans="1:14" ht="13.5" customHeight="1">
      <c r="A2" s="588">
        <f>HYPERLINK("#"&amp;B2&amp;"!A1",ROW(B2)-1)</f>
        <v>1</v>
      </c>
      <c r="B2" s="589" t="s">
        <v>3</v>
      </c>
      <c r="C2" s="590"/>
      <c r="D2" s="590" t="s">
        <v>4</v>
      </c>
      <c r="E2" s="591"/>
      <c r="F2" s="591"/>
      <c r="G2" s="591"/>
      <c r="H2" s="591"/>
      <c r="I2" s="591"/>
      <c r="J2" s="591"/>
      <c r="K2" s="591"/>
      <c r="L2" s="591"/>
      <c r="M2" s="591"/>
      <c r="N2" s="591"/>
    </row>
    <row r="3" spans="1:14" ht="13.5" customHeight="1">
      <c r="A3" s="588">
        <f>HYPERLINK("#"&amp;B3&amp;"!A1",ROW(B3)-1)</f>
        <v>2</v>
      </c>
      <c r="B3" s="589" t="s">
        <v>5</v>
      </c>
      <c r="C3" s="591"/>
      <c r="D3" s="592" t="s">
        <v>6</v>
      </c>
      <c r="E3" s="592" t="s">
        <v>7</v>
      </c>
      <c r="F3" s="613" t="s">
        <v>8</v>
      </c>
      <c r="G3" s="613"/>
      <c r="H3" s="613"/>
      <c r="I3" s="613"/>
      <c r="J3" s="613"/>
      <c r="K3" s="613"/>
      <c r="L3" s="591"/>
      <c r="M3" s="591"/>
      <c r="N3" s="591"/>
    </row>
    <row r="4" spans="1:14" ht="14.55" customHeight="1">
      <c r="A4" s="588">
        <f>HYPERLINK("#"&amp;B4&amp;"!A1",ROW(B4)-1)</f>
        <v>3</v>
      </c>
      <c r="B4" s="593" t="s">
        <v>9</v>
      </c>
      <c r="C4" s="591"/>
      <c r="D4" s="594">
        <v>43878</v>
      </c>
      <c r="E4" s="592" t="s">
        <v>10</v>
      </c>
      <c r="F4" s="609" t="s">
        <v>11</v>
      </c>
      <c r="G4" s="610"/>
      <c r="H4" s="610"/>
      <c r="I4" s="610"/>
      <c r="J4" s="610"/>
      <c r="K4" s="610"/>
      <c r="L4" s="591"/>
      <c r="M4" s="591"/>
      <c r="N4" s="591"/>
    </row>
    <row r="5" spans="1:14" ht="13.5" customHeight="1">
      <c r="A5" s="588">
        <f>HYPERLINK("#"&amp;B5&amp;"!A1",ROW(B5)-1)</f>
        <v>4</v>
      </c>
      <c r="B5" s="593" t="s">
        <v>12</v>
      </c>
      <c r="C5" s="591"/>
      <c r="D5" s="594">
        <v>43863</v>
      </c>
      <c r="E5" s="592" t="s">
        <v>13</v>
      </c>
      <c r="F5" s="609" t="s">
        <v>14</v>
      </c>
      <c r="G5" s="610"/>
      <c r="H5" s="610"/>
      <c r="I5" s="610"/>
      <c r="J5" s="610"/>
      <c r="K5" s="610"/>
      <c r="L5" s="591"/>
      <c r="M5" s="591"/>
      <c r="N5" s="591"/>
    </row>
    <row r="6" spans="1:14" ht="13.5" customHeight="1">
      <c r="A6" s="588">
        <f t="shared" ref="A6:A14" si="0">HYPERLINK("#"&amp;B6&amp;"!A1",ROW(B6)-1)</f>
        <v>5</v>
      </c>
      <c r="B6" s="593" t="s">
        <v>15</v>
      </c>
      <c r="C6" s="591"/>
      <c r="D6" s="594">
        <v>43835</v>
      </c>
      <c r="E6" s="592" t="s">
        <v>16</v>
      </c>
      <c r="F6" s="609" t="s">
        <v>17</v>
      </c>
      <c r="G6" s="610"/>
      <c r="H6" s="610"/>
      <c r="I6" s="610"/>
      <c r="J6" s="610"/>
      <c r="K6" s="610"/>
      <c r="L6" s="591"/>
      <c r="M6" s="591"/>
      <c r="N6" s="591"/>
    </row>
    <row r="7" spans="1:14" ht="13.5" customHeight="1">
      <c r="A7" s="588">
        <f t="shared" si="0"/>
        <v>6</v>
      </c>
      <c r="B7" s="593" t="s">
        <v>18</v>
      </c>
      <c r="C7" s="591"/>
      <c r="D7" s="594">
        <v>43831</v>
      </c>
      <c r="E7" s="592" t="s">
        <v>19</v>
      </c>
      <c r="F7" s="609" t="s">
        <v>20</v>
      </c>
      <c r="G7" s="610"/>
      <c r="H7" s="610"/>
      <c r="I7" s="610"/>
      <c r="J7" s="610"/>
      <c r="K7" s="610"/>
      <c r="L7" s="591"/>
      <c r="M7" s="591"/>
      <c r="N7" s="591"/>
    </row>
    <row r="8" spans="1:14" ht="13.5" customHeight="1">
      <c r="A8" s="588">
        <f t="shared" si="0"/>
        <v>7</v>
      </c>
      <c r="B8" s="593" t="s">
        <v>21</v>
      </c>
      <c r="C8" s="591"/>
      <c r="D8" s="594">
        <v>43831</v>
      </c>
      <c r="E8" s="592" t="s">
        <v>22</v>
      </c>
      <c r="F8" s="609" t="s">
        <v>23</v>
      </c>
      <c r="G8" s="610"/>
      <c r="H8" s="610"/>
      <c r="I8" s="610"/>
      <c r="J8" s="610"/>
      <c r="K8" s="610"/>
      <c r="L8" s="591"/>
      <c r="M8" s="591"/>
      <c r="N8" s="591"/>
    </row>
    <row r="9" spans="1:14" ht="13.5" customHeight="1">
      <c r="A9" s="588">
        <f t="shared" si="0"/>
        <v>8</v>
      </c>
      <c r="B9" s="593" t="s">
        <v>24</v>
      </c>
      <c r="C9" s="591"/>
      <c r="D9" s="594">
        <v>43826</v>
      </c>
      <c r="E9" s="592" t="s">
        <v>25</v>
      </c>
      <c r="F9" s="609" t="s">
        <v>26</v>
      </c>
      <c r="G9" s="610"/>
      <c r="H9" s="610"/>
      <c r="I9" s="610"/>
      <c r="J9" s="610"/>
      <c r="K9" s="610"/>
      <c r="L9" s="591"/>
      <c r="M9" s="591"/>
      <c r="N9" s="591"/>
    </row>
    <row r="10" spans="1:14" ht="13.5" customHeight="1">
      <c r="A10" s="588">
        <f t="shared" si="0"/>
        <v>9</v>
      </c>
      <c r="B10" s="593" t="s">
        <v>27</v>
      </c>
      <c r="C10" s="591"/>
      <c r="D10" s="594">
        <v>43798</v>
      </c>
      <c r="E10" s="592" t="s">
        <v>28</v>
      </c>
      <c r="F10" s="609" t="s">
        <v>29</v>
      </c>
      <c r="G10" s="610"/>
      <c r="H10" s="610"/>
      <c r="I10" s="610"/>
      <c r="J10" s="610"/>
      <c r="K10" s="610"/>
      <c r="L10" s="591"/>
      <c r="M10" s="591"/>
      <c r="N10" s="591"/>
    </row>
    <row r="11" spans="1:14" ht="13.5" customHeight="1">
      <c r="A11" s="588">
        <f t="shared" si="0"/>
        <v>10</v>
      </c>
      <c r="B11" s="593" t="s">
        <v>30</v>
      </c>
      <c r="C11" s="591"/>
      <c r="D11" s="594">
        <v>43796</v>
      </c>
      <c r="E11" s="592" t="s">
        <v>31</v>
      </c>
      <c r="F11" s="609" t="s">
        <v>32</v>
      </c>
      <c r="G11" s="610"/>
      <c r="H11" s="610"/>
      <c r="I11" s="610"/>
      <c r="J11" s="610"/>
      <c r="K11" s="610"/>
      <c r="L11" s="591"/>
      <c r="M11" s="591"/>
      <c r="N11" s="591"/>
    </row>
    <row r="12" spans="1:14" ht="13.5" customHeight="1">
      <c r="A12" s="588">
        <f t="shared" si="0"/>
        <v>11</v>
      </c>
      <c r="B12" s="593" t="s">
        <v>33</v>
      </c>
      <c r="C12" s="591"/>
      <c r="D12" s="594">
        <v>43795</v>
      </c>
      <c r="E12" s="592" t="s">
        <v>34</v>
      </c>
      <c r="F12" s="609" t="s">
        <v>35</v>
      </c>
      <c r="G12" s="610"/>
      <c r="H12" s="610"/>
      <c r="I12" s="610"/>
      <c r="J12" s="610"/>
      <c r="K12" s="610"/>
      <c r="L12" s="591"/>
      <c r="M12" s="591"/>
      <c r="N12" s="591"/>
    </row>
    <row r="13" spans="1:14" ht="13.5" customHeight="1">
      <c r="A13" s="588">
        <f t="shared" si="0"/>
        <v>12</v>
      </c>
      <c r="B13" s="593" t="s">
        <v>36</v>
      </c>
      <c r="C13" s="591"/>
      <c r="D13" s="594">
        <v>43544</v>
      </c>
      <c r="E13" s="592" t="s">
        <v>37</v>
      </c>
      <c r="F13" s="609" t="s">
        <v>38</v>
      </c>
      <c r="G13" s="610"/>
      <c r="H13" s="610"/>
      <c r="I13" s="610"/>
      <c r="J13" s="610"/>
      <c r="K13" s="610"/>
      <c r="L13" s="591"/>
      <c r="M13" s="591"/>
      <c r="N13" s="591"/>
    </row>
    <row r="14" spans="1:14" ht="13.5" customHeight="1">
      <c r="A14" s="588">
        <f t="shared" si="0"/>
        <v>13</v>
      </c>
      <c r="B14" s="593" t="s">
        <v>39</v>
      </c>
      <c r="C14" s="591"/>
      <c r="D14" s="594">
        <v>43528</v>
      </c>
      <c r="E14" s="592" t="s">
        <v>40</v>
      </c>
      <c r="F14" s="609" t="s">
        <v>41</v>
      </c>
      <c r="G14" s="610"/>
      <c r="H14" s="610"/>
      <c r="I14" s="610"/>
      <c r="J14" s="610"/>
      <c r="K14" s="610"/>
      <c r="L14" s="591"/>
      <c r="M14" s="591"/>
      <c r="N14" s="591"/>
    </row>
    <row r="15" spans="1:14" ht="13.5" customHeight="1">
      <c r="A15" s="591"/>
      <c r="B15" s="595"/>
      <c r="C15" s="591"/>
      <c r="D15" s="594">
        <v>43512</v>
      </c>
      <c r="E15" s="592" t="s">
        <v>42</v>
      </c>
      <c r="F15" s="609" t="s">
        <v>43</v>
      </c>
      <c r="G15" s="610"/>
      <c r="H15" s="610"/>
      <c r="I15" s="610"/>
      <c r="J15" s="610"/>
      <c r="K15" s="610"/>
      <c r="L15" s="591"/>
      <c r="M15" s="591"/>
      <c r="N15" s="591"/>
    </row>
    <row r="16" spans="1:14" ht="13.5" customHeight="1">
      <c r="A16" s="591"/>
      <c r="B16" s="595"/>
      <c r="C16" s="591"/>
      <c r="D16" s="591"/>
      <c r="E16" s="591"/>
      <c r="F16" s="591"/>
      <c r="G16" s="591"/>
      <c r="H16" s="591"/>
      <c r="I16" s="591"/>
      <c r="J16" s="591"/>
      <c r="K16" s="591"/>
      <c r="L16" s="591"/>
      <c r="M16" s="591"/>
      <c r="N16" s="591"/>
    </row>
    <row r="17" spans="1:14" ht="13.5" customHeight="1">
      <c r="A17" s="591"/>
      <c r="B17" s="595"/>
      <c r="C17" s="591"/>
      <c r="D17" s="591"/>
      <c r="E17" s="591"/>
      <c r="F17" s="591"/>
      <c r="G17" s="591"/>
      <c r="H17" s="591"/>
      <c r="I17" s="591"/>
      <c r="J17" s="591"/>
      <c r="K17" s="591"/>
      <c r="L17" s="591"/>
      <c r="M17" s="591"/>
      <c r="N17" s="591"/>
    </row>
    <row r="18" spans="1:14" ht="13.5" customHeight="1">
      <c r="A18" s="591"/>
      <c r="B18" s="595"/>
      <c r="C18" s="591"/>
      <c r="D18" s="591"/>
      <c r="E18" s="596"/>
      <c r="F18" s="591"/>
      <c r="G18" s="591"/>
      <c r="H18" s="591"/>
      <c r="I18" s="591"/>
      <c r="J18" s="591"/>
      <c r="K18" s="591"/>
      <c r="L18" s="591"/>
      <c r="M18" s="591"/>
      <c r="N18" s="591"/>
    </row>
    <row r="19" spans="1:14" ht="13.5" customHeight="1">
      <c r="A19" s="591"/>
      <c r="B19" s="595"/>
      <c r="C19" s="591"/>
      <c r="D19" s="591"/>
      <c r="E19" s="591"/>
      <c r="F19" s="591"/>
      <c r="G19" s="591"/>
      <c r="H19" s="591"/>
      <c r="I19" s="591"/>
      <c r="J19" s="591"/>
      <c r="K19" s="591"/>
      <c r="L19" s="591"/>
      <c r="M19" s="591"/>
      <c r="N19" s="591"/>
    </row>
    <row r="20" spans="1:14" ht="13.5" customHeight="1">
      <c r="A20" s="591"/>
      <c r="B20" s="595"/>
      <c r="C20" s="591"/>
      <c r="D20" s="591"/>
      <c r="E20" s="591"/>
      <c r="F20" s="591"/>
      <c r="G20" s="591"/>
      <c r="H20" s="591"/>
      <c r="I20" s="591"/>
      <c r="J20" s="591"/>
      <c r="K20" s="591"/>
      <c r="L20" s="591"/>
      <c r="M20" s="591"/>
      <c r="N20" s="591"/>
    </row>
    <row r="21" spans="1:14" ht="13.5" customHeight="1">
      <c r="A21" s="591"/>
      <c r="B21" s="595"/>
      <c r="C21" s="591"/>
      <c r="D21" s="591"/>
      <c r="E21" s="591"/>
      <c r="F21" s="591"/>
      <c r="G21" s="591"/>
      <c r="H21" s="591"/>
      <c r="I21" s="591"/>
      <c r="J21" s="591"/>
      <c r="K21" s="591"/>
      <c r="L21" s="591"/>
      <c r="M21" s="591"/>
      <c r="N21" s="591"/>
    </row>
    <row r="22" spans="1:14" ht="13.5" customHeight="1">
      <c r="A22" s="591"/>
      <c r="B22" s="595"/>
      <c r="C22" s="591"/>
      <c r="D22" s="591"/>
      <c r="E22" s="591"/>
      <c r="F22" s="591"/>
      <c r="G22" s="591"/>
      <c r="H22" s="591"/>
      <c r="I22" s="591"/>
      <c r="J22" s="591"/>
      <c r="K22" s="591"/>
      <c r="L22" s="591"/>
      <c r="M22" s="591"/>
      <c r="N22" s="591"/>
    </row>
    <row r="23" spans="1:14" ht="13.5" customHeight="1">
      <c r="A23" s="591"/>
      <c r="B23" s="595"/>
      <c r="C23" s="591"/>
      <c r="D23" s="591"/>
      <c r="E23" s="591"/>
      <c r="F23" s="591"/>
      <c r="G23" s="591"/>
      <c r="H23" s="591"/>
      <c r="I23" s="591"/>
      <c r="J23" s="591"/>
      <c r="K23" s="591"/>
      <c r="L23" s="591"/>
      <c r="M23" s="591"/>
      <c r="N23" s="591"/>
    </row>
    <row r="24" spans="1:14" ht="13.5" customHeight="1">
      <c r="A24" s="591"/>
      <c r="B24" s="595"/>
      <c r="C24" s="591"/>
      <c r="D24" s="591"/>
      <c r="E24" s="591"/>
      <c r="F24" s="591"/>
      <c r="G24" s="591"/>
      <c r="H24" s="591"/>
      <c r="I24" s="591"/>
      <c r="J24" s="591"/>
      <c r="K24" s="591"/>
      <c r="L24" s="591"/>
      <c r="M24" s="591"/>
      <c r="N24" s="591"/>
    </row>
    <row r="25" spans="1:14" ht="13.5" customHeight="1">
      <c r="A25" s="591"/>
      <c r="B25" s="595"/>
      <c r="C25" s="591"/>
      <c r="D25" s="591"/>
      <c r="E25" s="591"/>
      <c r="F25" s="591"/>
      <c r="G25" s="591"/>
      <c r="H25" s="591"/>
      <c r="I25" s="591"/>
      <c r="J25" s="591"/>
      <c r="K25" s="591"/>
      <c r="L25" s="591"/>
      <c r="M25" s="591"/>
      <c r="N25" s="591"/>
    </row>
    <row r="26" spans="1:14" ht="13.5" customHeight="1">
      <c r="A26" s="591"/>
      <c r="B26" s="595"/>
      <c r="C26" s="586"/>
      <c r="D26" s="586"/>
      <c r="E26" s="586"/>
      <c r="F26" s="586"/>
      <c r="G26" s="586"/>
      <c r="H26" s="587"/>
      <c r="I26" s="597"/>
      <c r="J26" s="586"/>
      <c r="K26" s="587"/>
      <c r="L26" s="586"/>
      <c r="M26" s="598"/>
      <c r="N26" s="591"/>
    </row>
    <row r="27" spans="1:14" ht="13.5" customHeight="1">
      <c r="A27" s="591"/>
      <c r="B27" s="595"/>
      <c r="C27" s="586"/>
      <c r="D27" s="586"/>
      <c r="E27" s="586"/>
      <c r="F27" s="586"/>
      <c r="G27" s="586"/>
      <c r="H27" s="587"/>
      <c r="I27" s="597"/>
      <c r="J27" s="586"/>
      <c r="K27" s="587"/>
      <c r="L27" s="586"/>
      <c r="M27" s="598"/>
      <c r="N27" s="591"/>
    </row>
    <row r="28" spans="1:14" ht="13.5" customHeight="1">
      <c r="A28" s="591"/>
      <c r="B28" s="595"/>
      <c r="C28" s="586"/>
      <c r="D28" s="586"/>
      <c r="E28" s="586"/>
      <c r="F28" s="586"/>
      <c r="G28" s="586"/>
      <c r="H28" s="587"/>
      <c r="I28" s="597"/>
      <c r="J28" s="586"/>
      <c r="K28" s="587"/>
      <c r="L28" s="586"/>
      <c r="M28" s="598"/>
      <c r="N28" s="591"/>
    </row>
    <row r="29" spans="1:14" ht="13.5" customHeight="1">
      <c r="A29" s="591"/>
      <c r="B29" s="595"/>
      <c r="C29" s="586"/>
      <c r="D29" s="586"/>
      <c r="E29" s="586"/>
      <c r="F29" s="586"/>
      <c r="G29" s="586"/>
      <c r="H29" s="587"/>
      <c r="I29" s="597"/>
      <c r="J29" s="586"/>
      <c r="K29" s="587"/>
      <c r="L29" s="586"/>
      <c r="M29" s="598"/>
      <c r="N29" s="591"/>
    </row>
    <row r="30" spans="1:14" ht="13.5" customHeight="1">
      <c r="A30" s="591"/>
      <c r="B30" s="595"/>
      <c r="C30" s="590" t="s">
        <v>44</v>
      </c>
      <c r="D30" s="591"/>
      <c r="E30" s="591"/>
      <c r="F30" s="591"/>
      <c r="G30" s="591"/>
      <c r="H30" s="591"/>
      <c r="I30" s="591"/>
      <c r="J30" s="591"/>
      <c r="K30" s="591"/>
      <c r="L30" s="591"/>
      <c r="M30" s="591"/>
      <c r="N30" s="591"/>
    </row>
    <row r="31" spans="1:14" ht="14.55" customHeight="1">
      <c r="A31" s="591"/>
      <c r="B31" s="595"/>
      <c r="C31" s="611" t="s">
        <v>45</v>
      </c>
      <c r="D31" s="612"/>
      <c r="E31" s="612"/>
      <c r="F31" s="612"/>
      <c r="G31" s="612"/>
      <c r="H31" s="612"/>
      <c r="I31" s="612"/>
      <c r="J31" s="612"/>
      <c r="K31" s="612"/>
      <c r="L31" s="596"/>
      <c r="M31" s="599"/>
      <c r="N31" s="591"/>
    </row>
    <row r="32" spans="1:14" ht="14.55" customHeight="1">
      <c r="A32" s="591"/>
      <c r="B32" s="595"/>
      <c r="C32" s="611"/>
      <c r="D32" s="612"/>
      <c r="E32" s="612"/>
      <c r="F32" s="612"/>
      <c r="G32" s="612"/>
      <c r="H32" s="612"/>
      <c r="I32" s="612"/>
      <c r="J32" s="612"/>
      <c r="K32" s="612"/>
      <c r="L32" s="596"/>
      <c r="M32" s="599"/>
      <c r="N32" s="591"/>
    </row>
    <row r="33" spans="1:14" ht="14.55" customHeight="1">
      <c r="A33" s="591"/>
      <c r="B33" s="595"/>
      <c r="C33" s="591" t="s">
        <v>46</v>
      </c>
      <c r="D33" s="591"/>
      <c r="E33" s="591"/>
      <c r="F33" s="591"/>
      <c r="G33" s="591"/>
      <c r="H33" s="591"/>
      <c r="I33" s="591"/>
      <c r="J33" s="591"/>
      <c r="K33" s="591"/>
      <c r="L33" s="591"/>
      <c r="M33" s="591"/>
      <c r="N33" s="591"/>
    </row>
    <row r="34" spans="1:14" ht="14.55" customHeight="1">
      <c r="A34" s="591"/>
      <c r="B34" s="595"/>
      <c r="C34" s="591" t="s">
        <v>47</v>
      </c>
      <c r="D34" s="591"/>
      <c r="E34" s="591"/>
      <c r="F34" s="591"/>
      <c r="G34" s="591"/>
      <c r="H34" s="591"/>
      <c r="I34" s="591"/>
      <c r="J34" s="591"/>
      <c r="K34" s="591"/>
      <c r="L34" s="591"/>
      <c r="M34" s="591"/>
      <c r="N34" s="591"/>
    </row>
    <row r="35" spans="1:14" ht="14.55" customHeight="1">
      <c r="A35" s="591"/>
      <c r="B35" s="595"/>
      <c r="C35" s="591" t="s">
        <v>48</v>
      </c>
      <c r="D35" s="591"/>
      <c r="E35" s="591"/>
      <c r="F35" s="591"/>
      <c r="G35" s="591"/>
      <c r="H35" s="591"/>
      <c r="I35" s="591"/>
      <c r="J35" s="591"/>
      <c r="K35" s="591"/>
      <c r="L35" s="591"/>
      <c r="M35" s="591"/>
      <c r="N35" s="591"/>
    </row>
    <row r="36" spans="1:14" ht="14.55" customHeight="1">
      <c r="A36" s="591"/>
      <c r="B36" s="595"/>
      <c r="C36" s="591"/>
      <c r="D36" s="591"/>
      <c r="E36" s="591"/>
      <c r="F36" s="591"/>
      <c r="G36" s="591"/>
      <c r="H36" s="591"/>
      <c r="I36" s="600"/>
      <c r="J36" s="600" t="s">
        <v>49</v>
      </c>
      <c r="K36" s="591"/>
      <c r="L36" s="591"/>
      <c r="M36" s="591"/>
      <c r="N36" s="601"/>
    </row>
    <row r="37" spans="1:14" ht="14.55" customHeight="1">
      <c r="A37" s="591"/>
      <c r="B37" s="595"/>
      <c r="C37" s="591"/>
      <c r="D37" s="591"/>
      <c r="E37" s="591"/>
      <c r="F37" s="591"/>
      <c r="G37" s="591"/>
      <c r="H37" s="591"/>
      <c r="I37" s="602"/>
      <c r="J37" s="602">
        <v>43512</v>
      </c>
      <c r="K37" s="591"/>
      <c r="L37" s="591"/>
      <c r="M37" s="591"/>
      <c r="N37" s="591"/>
    </row>
    <row r="38" spans="1:14">
      <c r="C38" s="591"/>
      <c r="D38" s="591"/>
      <c r="E38" s="591"/>
      <c r="F38" s="591"/>
      <c r="G38" s="591"/>
      <c r="H38" s="591"/>
      <c r="I38" s="591"/>
      <c r="J38" s="591"/>
      <c r="K38" s="591"/>
      <c r="L38" s="591"/>
      <c r="M38" s="591"/>
      <c r="N38" s="591"/>
    </row>
    <row r="39" spans="1:14">
      <c r="C39" s="591"/>
      <c r="D39" s="591"/>
      <c r="E39" s="591"/>
      <c r="F39" s="591"/>
      <c r="G39" s="591"/>
      <c r="H39" s="591"/>
      <c r="I39" s="591"/>
      <c r="J39" s="591"/>
      <c r="K39" s="591"/>
      <c r="L39" s="591"/>
      <c r="M39" s="591"/>
      <c r="N39" s="591"/>
    </row>
    <row r="40" spans="1:14">
      <c r="C40" s="591"/>
      <c r="D40" s="591"/>
      <c r="E40" s="591"/>
      <c r="F40" s="591"/>
      <c r="G40" s="591"/>
      <c r="H40" s="591"/>
      <c r="I40" s="591"/>
      <c r="J40" s="591"/>
      <c r="K40" s="591"/>
      <c r="L40" s="591"/>
      <c r="M40" s="591"/>
      <c r="N40" s="591"/>
    </row>
    <row r="41" spans="1:14">
      <c r="C41" s="591"/>
      <c r="D41" s="591"/>
      <c r="E41" s="591"/>
      <c r="F41" s="591"/>
      <c r="G41" s="591"/>
      <c r="H41" s="591"/>
      <c r="I41" s="591"/>
      <c r="J41" s="591"/>
      <c r="K41" s="591"/>
      <c r="L41" s="591"/>
      <c r="M41" s="591"/>
      <c r="N41" s="591"/>
    </row>
    <row r="42" spans="1:14">
      <c r="C42" s="591"/>
      <c r="D42" s="591"/>
      <c r="E42" s="591"/>
      <c r="F42" s="591"/>
      <c r="G42" s="591"/>
      <c r="H42" s="591"/>
      <c r="I42" s="591"/>
      <c r="J42" s="591"/>
      <c r="K42" s="591"/>
      <c r="L42" s="591"/>
      <c r="M42" s="591"/>
      <c r="N42" s="591"/>
    </row>
    <row r="43" spans="1:14">
      <c r="C43" s="591"/>
      <c r="D43" s="591"/>
      <c r="E43" s="591"/>
      <c r="F43" s="591"/>
      <c r="G43" s="591"/>
      <c r="H43" s="591"/>
      <c r="I43" s="591"/>
      <c r="J43" s="591"/>
      <c r="K43" s="591"/>
      <c r="L43" s="591"/>
      <c r="M43" s="591"/>
      <c r="N43" s="591"/>
    </row>
    <row r="44" spans="1:14">
      <c r="C44" s="591"/>
      <c r="D44" s="591"/>
      <c r="E44" s="591"/>
      <c r="F44" s="591"/>
      <c r="G44" s="591"/>
      <c r="H44" s="591"/>
      <c r="I44" s="591"/>
      <c r="J44" s="591"/>
      <c r="K44" s="591"/>
      <c r="L44" s="591"/>
      <c r="M44" s="591"/>
      <c r="N44" s="591"/>
    </row>
    <row r="45" spans="1:14">
      <c r="C45" s="591"/>
      <c r="D45" s="591"/>
      <c r="E45" s="591"/>
      <c r="F45" s="591"/>
      <c r="G45" s="591"/>
      <c r="H45" s="591"/>
      <c r="I45" s="591"/>
      <c r="J45" s="591"/>
      <c r="K45" s="591"/>
      <c r="L45" s="591"/>
      <c r="M45" s="591"/>
      <c r="N45" s="591"/>
    </row>
    <row r="46" spans="1:14">
      <c r="C46" s="591"/>
      <c r="D46" s="591"/>
      <c r="E46" s="591"/>
      <c r="F46" s="591"/>
      <c r="G46" s="591"/>
      <c r="H46" s="591"/>
      <c r="I46" s="591"/>
      <c r="J46" s="591"/>
      <c r="K46" s="591"/>
      <c r="L46" s="591"/>
      <c r="M46" s="591"/>
      <c r="N46" s="591"/>
    </row>
    <row r="47" spans="1:14">
      <c r="C47" s="591"/>
      <c r="D47" s="591"/>
      <c r="E47" s="591"/>
      <c r="F47" s="591"/>
      <c r="G47" s="591"/>
      <c r="H47" s="591"/>
      <c r="I47" s="591"/>
      <c r="J47" s="591"/>
      <c r="K47" s="591"/>
      <c r="L47" s="591"/>
      <c r="M47" s="591"/>
      <c r="N47" s="591"/>
    </row>
    <row r="48" spans="1:14">
      <c r="C48" s="591"/>
      <c r="D48" s="591"/>
      <c r="E48" s="591"/>
      <c r="F48" s="591"/>
      <c r="G48" s="591"/>
      <c r="H48" s="591"/>
      <c r="I48" s="591"/>
      <c r="J48" s="591"/>
      <c r="K48" s="591"/>
      <c r="L48" s="591"/>
      <c r="M48" s="591"/>
      <c r="N48" s="591"/>
    </row>
    <row r="49" spans="3:14">
      <c r="C49" s="591"/>
      <c r="D49" s="591"/>
      <c r="E49" s="591"/>
      <c r="F49" s="591"/>
      <c r="G49" s="591"/>
      <c r="H49" s="591"/>
      <c r="I49" s="591"/>
      <c r="J49" s="591"/>
      <c r="K49" s="591"/>
      <c r="L49" s="591"/>
      <c r="M49" s="591"/>
      <c r="N49" s="591"/>
    </row>
    <row r="50" spans="3:14">
      <c r="C50" s="591"/>
      <c r="D50" s="591"/>
      <c r="E50" s="591"/>
      <c r="F50" s="591"/>
      <c r="G50" s="591"/>
      <c r="H50" s="591"/>
      <c r="I50" s="591"/>
      <c r="J50" s="591"/>
      <c r="K50" s="591"/>
      <c r="L50" s="591"/>
      <c r="M50" s="591"/>
      <c r="N50" s="591"/>
    </row>
    <row r="51" spans="3:14">
      <c r="C51" s="591"/>
      <c r="D51" s="591"/>
      <c r="E51" s="591"/>
      <c r="F51" s="591"/>
      <c r="G51" s="591"/>
      <c r="H51" s="591"/>
      <c r="I51" s="591"/>
      <c r="J51" s="591"/>
      <c r="K51" s="591"/>
      <c r="L51" s="591"/>
      <c r="M51" s="591"/>
      <c r="N51" s="591"/>
    </row>
    <row r="52" spans="3:14">
      <c r="C52" s="591"/>
      <c r="D52" s="591"/>
      <c r="E52" s="591"/>
      <c r="F52" s="591"/>
      <c r="G52" s="591"/>
      <c r="H52" s="591"/>
      <c r="I52" s="591"/>
      <c r="J52" s="591"/>
      <c r="K52" s="591"/>
      <c r="L52" s="591"/>
      <c r="M52" s="591"/>
      <c r="N52" s="591"/>
    </row>
    <row r="53" spans="3:14">
      <c r="C53" s="591"/>
      <c r="D53" s="591"/>
      <c r="E53" s="591"/>
      <c r="F53" s="591"/>
      <c r="G53" s="591"/>
      <c r="H53" s="591"/>
      <c r="I53" s="591"/>
      <c r="J53" s="591"/>
      <c r="K53" s="591"/>
      <c r="L53" s="591"/>
      <c r="M53" s="591"/>
      <c r="N53" s="591"/>
    </row>
    <row r="54" spans="3:14">
      <c r="C54" s="591"/>
      <c r="D54" s="591"/>
      <c r="E54" s="591"/>
      <c r="F54" s="591"/>
      <c r="G54" s="591"/>
      <c r="H54" s="591"/>
      <c r="I54" s="591"/>
      <c r="J54" s="591"/>
      <c r="K54" s="591"/>
      <c r="L54" s="591"/>
      <c r="M54" s="591"/>
      <c r="N54" s="591"/>
    </row>
    <row r="55" spans="3:14">
      <c r="C55" s="591"/>
      <c r="D55" s="591"/>
      <c r="E55" s="591"/>
      <c r="F55" s="591"/>
      <c r="G55" s="591"/>
      <c r="H55" s="591"/>
      <c r="I55" s="591"/>
      <c r="J55" s="591"/>
      <c r="K55" s="591"/>
      <c r="L55" s="591"/>
      <c r="M55" s="591"/>
      <c r="N55" s="591"/>
    </row>
    <row r="56" spans="3:14">
      <c r="C56" s="591"/>
      <c r="D56" s="591"/>
      <c r="E56" s="591"/>
      <c r="F56" s="591"/>
      <c r="G56" s="591"/>
      <c r="H56" s="591"/>
      <c r="I56" s="591"/>
      <c r="J56" s="591"/>
      <c r="K56" s="591"/>
      <c r="L56" s="591"/>
      <c r="M56" s="591"/>
      <c r="N56" s="591"/>
    </row>
    <row r="57" spans="3:14">
      <c r="C57" s="591"/>
      <c r="D57" s="591"/>
      <c r="E57" s="591"/>
      <c r="F57" s="591"/>
      <c r="G57" s="591"/>
      <c r="H57" s="591"/>
      <c r="I57" s="591"/>
      <c r="J57" s="591"/>
      <c r="K57" s="591"/>
      <c r="L57" s="591"/>
      <c r="M57" s="591"/>
      <c r="N57" s="591"/>
    </row>
    <row r="58" spans="3:14">
      <c r="C58" s="591"/>
      <c r="D58" s="591"/>
      <c r="E58" s="591"/>
      <c r="F58" s="591"/>
      <c r="G58" s="591"/>
      <c r="H58" s="591"/>
      <c r="I58" s="591"/>
      <c r="J58" s="591"/>
      <c r="K58" s="591"/>
      <c r="L58" s="591"/>
      <c r="M58" s="591"/>
      <c r="N58" s="591"/>
    </row>
    <row r="59" spans="3:14">
      <c r="C59" s="591"/>
      <c r="D59" s="591"/>
      <c r="E59" s="591"/>
      <c r="F59" s="591"/>
      <c r="G59" s="591"/>
      <c r="H59" s="591"/>
      <c r="I59" s="591"/>
      <c r="J59" s="591"/>
      <c r="K59" s="591"/>
      <c r="L59" s="591"/>
      <c r="M59" s="591"/>
      <c r="N59" s="591"/>
    </row>
    <row r="60" spans="3:14">
      <c r="C60" s="591"/>
      <c r="D60" s="591"/>
      <c r="E60" s="591"/>
      <c r="F60" s="591"/>
      <c r="G60" s="591"/>
      <c r="H60" s="591"/>
      <c r="I60" s="591"/>
      <c r="J60" s="591"/>
      <c r="K60" s="591"/>
      <c r="L60" s="591"/>
      <c r="M60" s="591"/>
      <c r="N60" s="591"/>
    </row>
    <row r="61" spans="3:14">
      <c r="C61" s="591"/>
      <c r="D61" s="591"/>
      <c r="E61" s="591"/>
      <c r="F61" s="591"/>
      <c r="G61" s="591"/>
      <c r="H61" s="591"/>
      <c r="I61" s="591"/>
      <c r="J61" s="591"/>
      <c r="K61" s="591"/>
      <c r="L61" s="591"/>
      <c r="M61" s="591"/>
      <c r="N61" s="591"/>
    </row>
    <row r="62" spans="3:14">
      <c r="C62" s="591"/>
      <c r="D62" s="591"/>
      <c r="E62" s="591"/>
      <c r="F62" s="591"/>
      <c r="G62" s="591"/>
      <c r="H62" s="591"/>
      <c r="I62" s="591"/>
      <c r="J62" s="591"/>
      <c r="K62" s="591"/>
      <c r="L62" s="591"/>
      <c r="M62" s="591"/>
      <c r="N62" s="591"/>
    </row>
    <row r="63" spans="3:14">
      <c r="C63" s="591"/>
      <c r="D63" s="591"/>
      <c r="E63" s="591"/>
      <c r="F63" s="591"/>
      <c r="G63" s="591"/>
      <c r="H63" s="591"/>
      <c r="I63" s="591"/>
      <c r="J63" s="591"/>
      <c r="K63" s="591"/>
      <c r="L63" s="591"/>
      <c r="M63" s="591"/>
      <c r="N63" s="591"/>
    </row>
    <row r="64" spans="3:14">
      <c r="C64" s="591"/>
      <c r="D64" s="591"/>
      <c r="E64" s="591"/>
      <c r="F64" s="591"/>
      <c r="G64" s="591"/>
      <c r="H64" s="591"/>
      <c r="I64" s="591"/>
      <c r="J64" s="591"/>
      <c r="K64" s="591"/>
      <c r="L64" s="591"/>
      <c r="M64" s="591"/>
      <c r="N64" s="591"/>
    </row>
    <row r="65" spans="3:14">
      <c r="C65" s="591"/>
      <c r="D65" s="591"/>
      <c r="E65" s="591"/>
      <c r="F65" s="591"/>
      <c r="G65" s="591"/>
      <c r="H65" s="591"/>
      <c r="I65" s="591"/>
      <c r="J65" s="591"/>
      <c r="K65" s="591"/>
      <c r="L65" s="591"/>
      <c r="M65" s="591"/>
      <c r="N65" s="591"/>
    </row>
  </sheetData>
  <mergeCells count="14">
    <mergeCell ref="F3:K3"/>
    <mergeCell ref="F4:K4"/>
    <mergeCell ref="F5:K5"/>
    <mergeCell ref="F6:K6"/>
    <mergeCell ref="F7:K7"/>
    <mergeCell ref="F13:K13"/>
    <mergeCell ref="F14:K14"/>
    <mergeCell ref="F15:K15"/>
    <mergeCell ref="C31:K32"/>
    <mergeCell ref="F8:K8"/>
    <mergeCell ref="F9:K9"/>
    <mergeCell ref="F10:K10"/>
    <mergeCell ref="F11:K11"/>
    <mergeCell ref="F12:K12"/>
  </mergeCells>
  <phoneticPr fontId="98"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O32"/>
  <sheetViews>
    <sheetView zoomScale="85" zoomScaleNormal="85" workbookViewId="0">
      <pane ySplit="1" topLeftCell="A2" activePane="bottomLeft" state="frozen"/>
      <selection pane="bottomLeft" activeCell="C6" sqref="C6"/>
    </sheetView>
  </sheetViews>
  <sheetFormatPr defaultColWidth="9" defaultRowHeight="13.9"/>
  <cols>
    <col min="1" max="1" width="8.59765625" style="564"/>
    <col min="2" max="2" width="16.796875" style="390" customWidth="1"/>
    <col min="3" max="3" width="17.33203125" style="390" customWidth="1"/>
    <col min="4" max="4" width="8.59765625" style="390"/>
    <col min="5" max="6" width="11.46484375" style="390" customWidth="1"/>
    <col min="7" max="8" width="8.59765625" style="390"/>
    <col min="9" max="9" width="9.46484375" style="390" customWidth="1"/>
    <col min="10" max="13" width="8.59765625" style="564"/>
    <col min="14" max="14" width="11.6640625" style="564" customWidth="1"/>
    <col min="15" max="15" width="12.46484375" style="564" customWidth="1"/>
  </cols>
  <sheetData>
    <row r="1" spans="1:15" ht="36.700000000000003" customHeight="1">
      <c r="A1" s="622" t="s">
        <v>50</v>
      </c>
      <c r="B1" s="622"/>
      <c r="C1" s="622"/>
      <c r="D1" s="622"/>
      <c r="E1" s="622"/>
      <c r="F1" s="622"/>
      <c r="G1" s="622"/>
      <c r="H1" s="622"/>
      <c r="I1" s="622"/>
      <c r="J1" s="622"/>
      <c r="K1" s="622"/>
      <c r="L1" s="622"/>
      <c r="M1" s="622"/>
      <c r="N1" s="622"/>
      <c r="O1" s="390"/>
    </row>
    <row r="2" spans="1:15">
      <c r="B2" s="44" t="s">
        <v>51</v>
      </c>
      <c r="C2" s="45" t="s">
        <v>52</v>
      </c>
      <c r="J2" s="390"/>
      <c r="K2" s="390"/>
      <c r="L2" s="390"/>
      <c r="M2" s="390"/>
      <c r="N2" s="390"/>
      <c r="O2" s="390"/>
    </row>
    <row r="3" spans="1:15">
      <c r="B3" s="44" t="s">
        <v>53</v>
      </c>
      <c r="C3" s="45" t="s">
        <v>54</v>
      </c>
      <c r="J3" s="390"/>
      <c r="K3" s="390"/>
      <c r="L3" s="390"/>
      <c r="M3" s="390"/>
      <c r="N3" s="390"/>
      <c r="O3" s="390"/>
    </row>
    <row r="4" spans="1:15">
      <c r="B4" s="44" t="s">
        <v>55</v>
      </c>
      <c r="C4" s="45" t="s">
        <v>56</v>
      </c>
      <c r="J4" s="390"/>
      <c r="K4" s="390"/>
      <c r="L4" s="390"/>
      <c r="M4" s="390"/>
      <c r="N4" s="390"/>
      <c r="O4" s="390"/>
    </row>
    <row r="5" spans="1:15">
      <c r="B5" s="44" t="s">
        <v>57</v>
      </c>
      <c r="C5" s="45" t="s">
        <v>58</v>
      </c>
      <c r="J5" s="390"/>
      <c r="K5" s="390"/>
      <c r="L5" s="583"/>
      <c r="M5" s="390"/>
      <c r="O5" s="390"/>
    </row>
    <row r="6" spans="1:15">
      <c r="B6" s="44" t="s">
        <v>59</v>
      </c>
      <c r="C6" s="46" t="s">
        <v>5</v>
      </c>
      <c r="D6" s="580" t="str">
        <f>IF(IFERROR(INDEX(使用说明!B:B,MATCH(操作平台!C6,使用说明!B:B,0)),"X")="X","修改模板池","")</f>
        <v/>
      </c>
      <c r="J6" s="390"/>
      <c r="K6" s="390"/>
      <c r="L6" s="390"/>
      <c r="M6" s="390"/>
      <c r="N6" s="390"/>
      <c r="O6" s="390"/>
    </row>
    <row r="7" spans="1:15">
      <c r="B7" s="47" t="s">
        <v>60</v>
      </c>
      <c r="C7" s="48" t="s">
        <v>61</v>
      </c>
      <c r="J7" s="390"/>
      <c r="K7" s="390"/>
      <c r="L7" s="390"/>
      <c r="M7" s="390"/>
      <c r="N7" s="390"/>
      <c r="O7" s="390"/>
    </row>
    <row r="8" spans="1:15">
      <c r="B8" s="47" t="s">
        <v>62</v>
      </c>
      <c r="C8" s="49">
        <v>80</v>
      </c>
      <c r="J8" s="390"/>
      <c r="K8" s="390"/>
      <c r="L8" s="583"/>
      <c r="M8" s="390"/>
      <c r="O8" s="390"/>
    </row>
    <row r="9" spans="1:15">
      <c r="B9" s="47" t="s">
        <v>63</v>
      </c>
      <c r="C9" s="119" t="str">
        <f>HYPERLINK("#使用说明!B2","编辑模板池")</f>
        <v>编辑模板池</v>
      </c>
      <c r="J9" s="390"/>
      <c r="K9" s="390"/>
      <c r="L9" s="390"/>
      <c r="M9" s="390"/>
      <c r="N9" s="390"/>
      <c r="O9" s="390"/>
    </row>
    <row r="10" spans="1:15">
      <c r="B10" s="118"/>
      <c r="C10" s="119" t="str">
        <f>HYPERLINK("#基本信息!A3","编辑基本信息")</f>
        <v>编辑基本信息</v>
      </c>
      <c r="J10" s="390"/>
      <c r="K10" s="390"/>
      <c r="L10" s="390"/>
      <c r="M10" s="390"/>
      <c r="N10" s="390"/>
      <c r="O10" s="390"/>
    </row>
    <row r="11" spans="1:15">
      <c r="B11" s="118"/>
      <c r="C11" s="119" t="str">
        <f>HYPERLINK("#询证函模板!I1","编辑函证模板")</f>
        <v>编辑函证模板</v>
      </c>
      <c r="J11" s="390"/>
      <c r="K11" s="390"/>
      <c r="L11" s="390"/>
      <c r="M11" s="390"/>
      <c r="N11" s="390"/>
      <c r="O11" s="390"/>
    </row>
    <row r="12" spans="1:15">
      <c r="C12" s="119" t="str">
        <f>HYPERLINK("#询证函模板!I1","编辑数据模板")</f>
        <v>编辑数据模板</v>
      </c>
      <c r="J12" s="390"/>
      <c r="K12" s="390"/>
      <c r="L12" s="390"/>
      <c r="M12" s="390"/>
      <c r="N12" s="390"/>
      <c r="O12" s="390"/>
    </row>
    <row r="13" spans="1:15">
      <c r="J13" s="390"/>
      <c r="K13" s="390"/>
      <c r="L13" s="390"/>
      <c r="M13" s="390"/>
      <c r="N13" s="390"/>
      <c r="O13" s="390"/>
    </row>
    <row r="14" spans="1:15" ht="25.5">
      <c r="A14" s="581" t="s">
        <v>64</v>
      </c>
      <c r="B14" s="50" t="s">
        <v>65</v>
      </c>
      <c r="C14" s="51" t="s">
        <v>66</v>
      </c>
      <c r="D14" s="50" t="s">
        <v>67</v>
      </c>
      <c r="E14" s="623" t="s">
        <v>68</v>
      </c>
      <c r="F14" s="623"/>
      <c r="G14" s="623"/>
      <c r="H14" s="623"/>
      <c r="I14" s="623"/>
      <c r="J14" s="623"/>
      <c r="K14" s="623"/>
      <c r="L14" s="623"/>
      <c r="M14" s="623"/>
      <c r="N14" s="623"/>
      <c r="O14" s="390"/>
    </row>
    <row r="15" spans="1:15" ht="14.2" customHeight="1">
      <c r="A15" s="582">
        <f>IF(B15&lt;&gt;"",HYPERLINK("#"&amp;B15&amp;"!A1",ROW(B15)-14),"")</f>
        <v>1</v>
      </c>
      <c r="B15" s="467" t="s">
        <v>69</v>
      </c>
      <c r="C15" s="429">
        <v>18</v>
      </c>
      <c r="D15" s="497" t="s">
        <v>67</v>
      </c>
      <c r="E15" s="512" t="s">
        <v>70</v>
      </c>
      <c r="F15" s="615" t="s">
        <v>71</v>
      </c>
      <c r="G15" s="615"/>
      <c r="H15" s="54" t="s">
        <v>72</v>
      </c>
      <c r="I15" s="54" t="s">
        <v>73</v>
      </c>
      <c r="J15" s="54" t="s">
        <v>74</v>
      </c>
      <c r="K15" s="54" t="s">
        <v>75</v>
      </c>
      <c r="L15" s="54" t="s">
        <v>76</v>
      </c>
      <c r="M15" s="515" t="s">
        <v>77</v>
      </c>
      <c r="N15" s="516" t="s">
        <v>78</v>
      </c>
    </row>
    <row r="16" spans="1:15" ht="31.05" customHeight="1">
      <c r="A16" s="582">
        <f t="shared" ref="A16" si="0">IF(B16&lt;&gt;"",HYPERLINK("#"&amp;B16&amp;"!A1",ROW(B16)-14),"")</f>
        <v>2</v>
      </c>
      <c r="B16" s="467" t="s">
        <v>79</v>
      </c>
      <c r="C16" s="429">
        <v>25</v>
      </c>
      <c r="D16" s="497" t="s">
        <v>67</v>
      </c>
      <c r="E16" s="512" t="s">
        <v>80</v>
      </c>
      <c r="F16" s="54" t="s">
        <v>71</v>
      </c>
      <c r="G16" s="54" t="s">
        <v>72</v>
      </c>
      <c r="H16" s="615" t="s">
        <v>75</v>
      </c>
      <c r="I16" s="615"/>
      <c r="J16" s="54" t="s">
        <v>81</v>
      </c>
      <c r="K16" s="54" t="s">
        <v>82</v>
      </c>
      <c r="L16" s="54" t="s">
        <v>73</v>
      </c>
      <c r="M16" s="54" t="s">
        <v>83</v>
      </c>
      <c r="N16" s="516" t="s">
        <v>78</v>
      </c>
    </row>
    <row r="17" spans="1:14" ht="14.2" customHeight="1">
      <c r="A17" s="582">
        <f t="shared" ref="A17:A28" si="1">IF(B17&lt;&gt;"",HYPERLINK("#"&amp;B17&amp;"!A1",ROW(B17)-14),"")</f>
        <v>3</v>
      </c>
      <c r="B17" s="467" t="s">
        <v>84</v>
      </c>
      <c r="C17" s="429">
        <v>30</v>
      </c>
      <c r="D17" s="497" t="s">
        <v>67</v>
      </c>
      <c r="E17" s="620" t="s">
        <v>70</v>
      </c>
      <c r="F17" s="621"/>
      <c r="G17" s="621"/>
      <c r="H17" s="621"/>
      <c r="I17" s="624" t="s">
        <v>71</v>
      </c>
      <c r="J17" s="624"/>
      <c r="K17" s="624"/>
      <c r="L17" s="419" t="s">
        <v>72</v>
      </c>
      <c r="M17" s="624" t="s">
        <v>85</v>
      </c>
      <c r="N17" s="625"/>
    </row>
    <row r="18" spans="1:14" ht="14.2" customHeight="1">
      <c r="A18" s="582">
        <f t="shared" si="1"/>
        <v>4</v>
      </c>
      <c r="B18" s="467" t="s">
        <v>86</v>
      </c>
      <c r="C18" s="429">
        <v>36</v>
      </c>
      <c r="D18" s="497" t="s">
        <v>67</v>
      </c>
      <c r="E18" s="620" t="s">
        <v>70</v>
      </c>
      <c r="F18" s="621"/>
      <c r="G18" s="621" t="s">
        <v>71</v>
      </c>
      <c r="H18" s="621"/>
      <c r="I18" s="432" t="s">
        <v>87</v>
      </c>
      <c r="J18" s="432" t="s">
        <v>72</v>
      </c>
      <c r="K18" s="432" t="s">
        <v>73</v>
      </c>
      <c r="L18" s="432" t="s">
        <v>75</v>
      </c>
      <c r="M18" s="432" t="s">
        <v>88</v>
      </c>
      <c r="N18" s="517" t="s">
        <v>78</v>
      </c>
    </row>
    <row r="19" spans="1:14" ht="14.2" customHeight="1">
      <c r="A19" s="582">
        <f t="shared" si="1"/>
        <v>5</v>
      </c>
      <c r="B19" s="467" t="s">
        <v>89</v>
      </c>
      <c r="C19" s="429">
        <v>43</v>
      </c>
      <c r="D19" s="497" t="s">
        <v>67</v>
      </c>
      <c r="E19" s="614" t="s">
        <v>70</v>
      </c>
      <c r="F19" s="615"/>
      <c r="G19" s="615" t="s">
        <v>71</v>
      </c>
      <c r="H19" s="615"/>
      <c r="I19" s="54" t="s">
        <v>90</v>
      </c>
      <c r="J19" s="54" t="s">
        <v>72</v>
      </c>
      <c r="K19" s="54" t="s">
        <v>73</v>
      </c>
      <c r="L19" s="54" t="s">
        <v>75</v>
      </c>
      <c r="M19" s="432" t="s">
        <v>88</v>
      </c>
      <c r="N19" s="516" t="s">
        <v>78</v>
      </c>
    </row>
    <row r="20" spans="1:14" ht="14.2" customHeight="1">
      <c r="A20" s="582">
        <f t="shared" si="1"/>
        <v>6</v>
      </c>
      <c r="B20" s="467" t="s">
        <v>91</v>
      </c>
      <c r="C20" s="429">
        <v>51</v>
      </c>
      <c r="D20" s="497" t="s">
        <v>67</v>
      </c>
      <c r="E20" s="512" t="s">
        <v>92</v>
      </c>
      <c r="F20" s="615" t="s">
        <v>93</v>
      </c>
      <c r="G20" s="615"/>
      <c r="H20" s="615" t="s">
        <v>94</v>
      </c>
      <c r="I20" s="615"/>
      <c r="J20" s="54" t="s">
        <v>95</v>
      </c>
      <c r="K20" s="615" t="s">
        <v>96</v>
      </c>
      <c r="L20" s="615"/>
      <c r="M20" s="615" t="s">
        <v>78</v>
      </c>
      <c r="N20" s="616"/>
    </row>
    <row r="21" spans="1:14" ht="14.2" customHeight="1">
      <c r="A21" s="582">
        <f t="shared" si="1"/>
        <v>7</v>
      </c>
      <c r="B21" s="467" t="s">
        <v>97</v>
      </c>
      <c r="C21" s="410">
        <v>58</v>
      </c>
      <c r="D21" s="497" t="s">
        <v>67</v>
      </c>
      <c r="E21" s="492" t="s">
        <v>92</v>
      </c>
      <c r="F21" s="618" t="s">
        <v>93</v>
      </c>
      <c r="G21" s="618"/>
      <c r="H21" s="618" t="s">
        <v>98</v>
      </c>
      <c r="I21" s="618"/>
      <c r="J21" s="54" t="s">
        <v>95</v>
      </c>
      <c r="K21" s="618" t="s">
        <v>96</v>
      </c>
      <c r="L21" s="618"/>
      <c r="M21" s="618" t="s">
        <v>78</v>
      </c>
      <c r="N21" s="619"/>
    </row>
    <row r="22" spans="1:14" ht="14" customHeight="1">
      <c r="A22" s="582">
        <f t="shared" si="1"/>
        <v>8</v>
      </c>
      <c r="B22" s="108" t="s">
        <v>99</v>
      </c>
      <c r="C22" s="410">
        <v>64</v>
      </c>
      <c r="D22" s="497" t="s">
        <v>67</v>
      </c>
      <c r="E22" s="512" t="s">
        <v>100</v>
      </c>
      <c r="F22" s="618" t="s">
        <v>101</v>
      </c>
      <c r="G22" s="618"/>
      <c r="H22" s="618" t="s">
        <v>102</v>
      </c>
      <c r="I22" s="618"/>
      <c r="J22" s="475" t="s">
        <v>103</v>
      </c>
      <c r="K22" s="618" t="s">
        <v>104</v>
      </c>
      <c r="L22" s="618"/>
      <c r="M22" s="618" t="s">
        <v>105</v>
      </c>
      <c r="N22" s="619"/>
    </row>
    <row r="23" spans="1:14" ht="14" customHeight="1">
      <c r="A23" s="582">
        <f t="shared" si="1"/>
        <v>9</v>
      </c>
      <c r="B23" s="108" t="s">
        <v>106</v>
      </c>
      <c r="C23" s="410">
        <v>70</v>
      </c>
      <c r="D23" s="497" t="s">
        <v>67</v>
      </c>
      <c r="E23" s="512" t="s">
        <v>107</v>
      </c>
      <c r="F23" s="54" t="s">
        <v>108</v>
      </c>
      <c r="G23" s="615" t="s">
        <v>109</v>
      </c>
      <c r="H23" s="615"/>
      <c r="I23" s="54" t="s">
        <v>103</v>
      </c>
      <c r="J23" s="54" t="s">
        <v>104</v>
      </c>
      <c r="K23" s="54" t="s">
        <v>105</v>
      </c>
      <c r="L23" s="54" t="s">
        <v>110</v>
      </c>
      <c r="M23" s="54" t="s">
        <v>111</v>
      </c>
      <c r="N23" s="516" t="s">
        <v>112</v>
      </c>
    </row>
    <row r="24" spans="1:14" ht="14" customHeight="1">
      <c r="A24" s="582">
        <f t="shared" si="1"/>
        <v>10</v>
      </c>
      <c r="B24" s="108" t="s">
        <v>113</v>
      </c>
      <c r="C24" s="410">
        <v>75</v>
      </c>
      <c r="D24" s="497" t="s">
        <v>67</v>
      </c>
      <c r="E24" s="617" t="s">
        <v>107</v>
      </c>
      <c r="F24" s="618"/>
      <c r="G24" s="618" t="s">
        <v>109</v>
      </c>
      <c r="H24" s="618"/>
      <c r="I24" s="618" t="s">
        <v>103</v>
      </c>
      <c r="J24" s="618"/>
      <c r="K24" s="618" t="s">
        <v>104</v>
      </c>
      <c r="L24" s="618"/>
      <c r="M24" s="618" t="s">
        <v>105</v>
      </c>
      <c r="N24" s="619"/>
    </row>
    <row r="25" spans="1:14" ht="14" customHeight="1">
      <c r="A25" s="582">
        <f t="shared" si="1"/>
        <v>11</v>
      </c>
      <c r="B25" s="108" t="s">
        <v>114</v>
      </c>
      <c r="C25" s="410">
        <v>82</v>
      </c>
      <c r="D25" s="497" t="s">
        <v>67</v>
      </c>
      <c r="E25" s="617" t="s">
        <v>115</v>
      </c>
      <c r="F25" s="618"/>
      <c r="G25" s="618" t="s">
        <v>116</v>
      </c>
      <c r="H25" s="618"/>
      <c r="I25" s="618" t="s">
        <v>117</v>
      </c>
      <c r="J25" s="618"/>
      <c r="K25" s="618" t="s">
        <v>105</v>
      </c>
      <c r="L25" s="618"/>
      <c r="M25" s="618" t="s">
        <v>118</v>
      </c>
      <c r="N25" s="619"/>
    </row>
    <row r="26" spans="1:14" ht="14" customHeight="1">
      <c r="A26" s="582">
        <f t="shared" si="1"/>
        <v>12</v>
      </c>
      <c r="B26" s="410" t="s">
        <v>119</v>
      </c>
      <c r="C26" s="410">
        <v>94</v>
      </c>
      <c r="D26" s="497" t="s">
        <v>67</v>
      </c>
      <c r="E26" s="617" t="s">
        <v>120</v>
      </c>
      <c r="F26" s="618"/>
      <c r="G26" s="618"/>
      <c r="H26" s="618"/>
      <c r="I26" s="618" t="s">
        <v>121</v>
      </c>
      <c r="J26" s="618"/>
      <c r="K26" s="618" t="s">
        <v>122</v>
      </c>
      <c r="L26" s="618"/>
      <c r="M26" s="618" t="s">
        <v>123</v>
      </c>
      <c r="N26" s="619"/>
    </row>
    <row r="27" spans="1:14" ht="14" customHeight="1">
      <c r="A27" s="582">
        <f t="shared" si="1"/>
        <v>13</v>
      </c>
      <c r="B27" s="108" t="s">
        <v>124</v>
      </c>
      <c r="C27" s="410">
        <v>100</v>
      </c>
      <c r="D27" s="497" t="s">
        <v>67</v>
      </c>
      <c r="E27" s="617" t="s">
        <v>125</v>
      </c>
      <c r="F27" s="618"/>
      <c r="G27" s="618" t="s">
        <v>126</v>
      </c>
      <c r="H27" s="618"/>
      <c r="I27" s="475" t="s">
        <v>127</v>
      </c>
      <c r="J27" s="618" t="s">
        <v>128</v>
      </c>
      <c r="K27" s="618"/>
      <c r="L27" s="618" t="s">
        <v>105</v>
      </c>
      <c r="M27" s="618"/>
      <c r="N27" s="502" t="s">
        <v>72</v>
      </c>
    </row>
    <row r="28" spans="1:14">
      <c r="A28" s="582">
        <f t="shared" si="1"/>
        <v>14</v>
      </c>
      <c r="B28" s="108" t="s">
        <v>129</v>
      </c>
      <c r="C28" s="410">
        <v>105</v>
      </c>
      <c r="D28" s="497" t="s">
        <v>67</v>
      </c>
      <c r="E28" s="614" t="s">
        <v>130</v>
      </c>
      <c r="F28" s="615"/>
      <c r="G28" s="615"/>
      <c r="H28" s="615"/>
      <c r="I28" s="615"/>
      <c r="J28" s="615"/>
      <c r="K28" s="615"/>
      <c r="L28" s="615"/>
      <c r="M28" s="615"/>
      <c r="N28" s="616"/>
    </row>
    <row r="29" spans="1:14">
      <c r="J29" s="390"/>
      <c r="K29" s="390"/>
      <c r="L29" s="390"/>
      <c r="M29" s="390"/>
      <c r="N29" s="390"/>
    </row>
    <row r="30" spans="1:14">
      <c r="J30" s="390"/>
      <c r="K30" s="390"/>
      <c r="L30" s="390"/>
      <c r="M30" s="390"/>
      <c r="N30" s="390"/>
    </row>
    <row r="31" spans="1:14">
      <c r="J31" s="390"/>
      <c r="K31" s="390"/>
      <c r="L31" s="390"/>
      <c r="M31" s="390"/>
      <c r="N31" s="390"/>
    </row>
    <row r="32" spans="1:14">
      <c r="J32" s="390"/>
      <c r="K32" s="390"/>
      <c r="L32" s="390"/>
      <c r="M32" s="390"/>
      <c r="N32" s="390"/>
    </row>
  </sheetData>
  <mergeCells count="43">
    <mergeCell ref="A1:N1"/>
    <mergeCell ref="E14:N14"/>
    <mergeCell ref="F15:G15"/>
    <mergeCell ref="H16:I16"/>
    <mergeCell ref="E17:H17"/>
    <mergeCell ref="I17:K17"/>
    <mergeCell ref="M17:N17"/>
    <mergeCell ref="E18:F18"/>
    <mergeCell ref="G18:H18"/>
    <mergeCell ref="E19:F19"/>
    <mergeCell ref="G19:H19"/>
    <mergeCell ref="F20:G20"/>
    <mergeCell ref="H20:I20"/>
    <mergeCell ref="K20:L20"/>
    <mergeCell ref="M20:N20"/>
    <mergeCell ref="F21:G21"/>
    <mergeCell ref="H21:I21"/>
    <mergeCell ref="K21:L21"/>
    <mergeCell ref="M21:N21"/>
    <mergeCell ref="F22:G22"/>
    <mergeCell ref="H22:I22"/>
    <mergeCell ref="K22:L22"/>
    <mergeCell ref="M22:N22"/>
    <mergeCell ref="G23:H23"/>
    <mergeCell ref="E24:F24"/>
    <mergeCell ref="G24:H24"/>
    <mergeCell ref="I24:J24"/>
    <mergeCell ref="K24:L24"/>
    <mergeCell ref="M24:N24"/>
    <mergeCell ref="E25:F25"/>
    <mergeCell ref="G25:H25"/>
    <mergeCell ref="I25:J25"/>
    <mergeCell ref="K25:L25"/>
    <mergeCell ref="M25:N25"/>
    <mergeCell ref="E28:N28"/>
    <mergeCell ref="E26:H26"/>
    <mergeCell ref="I26:J26"/>
    <mergeCell ref="K26:L26"/>
    <mergeCell ref="M26:N26"/>
    <mergeCell ref="E27:F27"/>
    <mergeCell ref="G27:H27"/>
    <mergeCell ref="J27:K27"/>
    <mergeCell ref="L27:M27"/>
  </mergeCells>
  <phoneticPr fontId="9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7" r:id="rId4" name="Button 9">
              <controlPr defaultSize="0" print="0" autoPict="0" macro="[0]!生成数据表.生成数据表">
                <anchor>
                  <from>
                    <xdr:col>8</xdr:col>
                    <xdr:colOff>366713</xdr:colOff>
                    <xdr:row>1</xdr:row>
                    <xdr:rowOff>23813</xdr:rowOff>
                  </from>
                  <to>
                    <xdr:col>10</xdr:col>
                    <xdr:colOff>276225</xdr:colOff>
                    <xdr:row>2</xdr:row>
                    <xdr:rowOff>161925</xdr:rowOff>
                  </to>
                </anchor>
              </controlPr>
            </control>
          </mc:Choice>
        </mc:AlternateContent>
        <mc:AlternateContent xmlns:mc="http://schemas.openxmlformats.org/markup-compatibility/2006">
          <mc:Choice Requires="x14">
            <control shapeId="12299" r:id="rId5" name="Button 11">
              <controlPr defaultSize="0" print="0" autoPict="0" macro="[0]!删除数据表.删除数据表">
                <anchor>
                  <from>
                    <xdr:col>10</xdr:col>
                    <xdr:colOff>500063</xdr:colOff>
                    <xdr:row>1</xdr:row>
                    <xdr:rowOff>23813</xdr:rowOff>
                  </from>
                  <to>
                    <xdr:col>12</xdr:col>
                    <xdr:colOff>471488</xdr:colOff>
                    <xdr:row>2</xdr:row>
                    <xdr:rowOff>161925</xdr:rowOff>
                  </to>
                </anchor>
              </controlPr>
            </control>
          </mc:Choice>
        </mc:AlternateContent>
        <mc:AlternateContent xmlns:mc="http://schemas.openxmlformats.org/markup-compatibility/2006">
          <mc:Choice Requires="x14">
            <control shapeId="12300" r:id="rId6" name="Button 12">
              <controlPr defaultSize="0" print="0" autoPict="0" macro="[0]!生成询证函.生成询证函">
                <anchor>
                  <from>
                    <xdr:col>4</xdr:col>
                    <xdr:colOff>404813</xdr:colOff>
                    <xdr:row>3</xdr:row>
                    <xdr:rowOff>152400</xdr:rowOff>
                  </from>
                  <to>
                    <xdr:col>5</xdr:col>
                    <xdr:colOff>790575</xdr:colOff>
                    <xdr:row>5</xdr:row>
                    <xdr:rowOff>119063</xdr:rowOff>
                  </to>
                </anchor>
              </controlPr>
            </control>
          </mc:Choice>
        </mc:AlternateContent>
        <mc:AlternateContent xmlns:mc="http://schemas.openxmlformats.org/markup-compatibility/2006">
          <mc:Choice Requires="x14">
            <control shapeId="12301" r:id="rId7" name="Button 13">
              <controlPr defaultSize="0" print="0" autoPict="0" macro="[0]!删除询证函.删除询证函">
                <anchor>
                  <from>
                    <xdr:col>6</xdr:col>
                    <xdr:colOff>166688</xdr:colOff>
                    <xdr:row>3</xdr:row>
                    <xdr:rowOff>142875</xdr:rowOff>
                  </from>
                  <to>
                    <xdr:col>8</xdr:col>
                    <xdr:colOff>133350</xdr:colOff>
                    <xdr:row>5</xdr:row>
                    <xdr:rowOff>104775</xdr:rowOff>
                  </to>
                </anchor>
              </controlPr>
            </control>
          </mc:Choice>
        </mc:AlternateContent>
        <mc:AlternateContent xmlns:mc="http://schemas.openxmlformats.org/markup-compatibility/2006">
          <mc:Choice Requires="x14">
            <control shapeId="12303" r:id="rId8" name="Button 15">
              <controlPr defaultSize="0" print="0" autoPict="0" macro="[0]!ShowForm">
                <anchor>
                  <from>
                    <xdr:col>4</xdr:col>
                    <xdr:colOff>400050</xdr:colOff>
                    <xdr:row>6</xdr:row>
                    <xdr:rowOff>104775</xdr:rowOff>
                  </from>
                  <to>
                    <xdr:col>5</xdr:col>
                    <xdr:colOff>781050</xdr:colOff>
                    <xdr:row>8</xdr:row>
                    <xdr:rowOff>66675</xdr:rowOff>
                  </to>
                </anchor>
              </controlPr>
            </control>
          </mc:Choice>
        </mc:AlternateContent>
        <mc:AlternateContent xmlns:mc="http://schemas.openxmlformats.org/markup-compatibility/2006">
          <mc:Choice Requires="x14">
            <control shapeId="12304" r:id="rId9" name="Button 16">
              <controlPr defaultSize="0" print="0" autoPict="0" macro="[0]!显示所有模板.显示所有模板">
                <anchor>
                  <from>
                    <xdr:col>4</xdr:col>
                    <xdr:colOff>400050</xdr:colOff>
                    <xdr:row>1</xdr:row>
                    <xdr:rowOff>38100</xdr:rowOff>
                  </from>
                  <to>
                    <xdr:col>5</xdr:col>
                    <xdr:colOff>781050</xdr:colOff>
                    <xdr:row>2</xdr:row>
                    <xdr:rowOff>171450</xdr:rowOff>
                  </to>
                </anchor>
              </controlPr>
            </control>
          </mc:Choice>
        </mc:AlternateContent>
        <mc:AlternateContent xmlns:mc="http://schemas.openxmlformats.org/markup-compatibility/2006">
          <mc:Choice Requires="x14">
            <control shapeId="12305" r:id="rId10" name="Button 17">
              <controlPr defaultSize="0" print="0" autoPict="0" macro="[0]!隐藏其他模板.隐藏其他模板">
                <anchor>
                  <from>
                    <xdr:col>6</xdr:col>
                    <xdr:colOff>166688</xdr:colOff>
                    <xdr:row>1</xdr:row>
                    <xdr:rowOff>23813</xdr:rowOff>
                  </from>
                  <to>
                    <xdr:col>8</xdr:col>
                    <xdr:colOff>133350</xdr:colOff>
                    <xdr:row>2</xdr:row>
                    <xdr:rowOff>161925</xdr:rowOff>
                  </to>
                </anchor>
              </controlPr>
            </control>
          </mc:Choice>
        </mc:AlternateContent>
        <mc:AlternateContent xmlns:mc="http://schemas.openxmlformats.org/markup-compatibility/2006">
          <mc:Choice Requires="x14">
            <control shapeId="12309" r:id="rId11" name="Button 21">
              <controlPr defaultSize="0" print="0" autoPict="0" macro="[0]!ShowSinPDF">
                <anchor>
                  <from>
                    <xdr:col>6</xdr:col>
                    <xdr:colOff>171450</xdr:colOff>
                    <xdr:row>6</xdr:row>
                    <xdr:rowOff>109538</xdr:rowOff>
                  </from>
                  <to>
                    <xdr:col>8</xdr:col>
                    <xdr:colOff>142875</xdr:colOff>
                    <xdr:row>8</xdr:row>
                    <xdr:rowOff>76200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B704"/>
  <sheetViews>
    <sheetView workbookViewId="0">
      <pane xSplit="3" ySplit="1" topLeftCell="D2" activePane="bottomRight" state="frozen"/>
      <selection pane="topRight"/>
      <selection pane="bottomLeft"/>
      <selection pane="bottomRight" activeCell="A3" sqref="A3"/>
    </sheetView>
  </sheetViews>
  <sheetFormatPr defaultColWidth="9" defaultRowHeight="19.5" customHeight="1"/>
  <cols>
    <col min="1" max="1" width="10.33203125" style="560" customWidth="1"/>
    <col min="2" max="2" width="25.33203125" style="561" customWidth="1"/>
    <col min="3" max="3" width="26.73046875" style="561" customWidth="1"/>
    <col min="4" max="4" width="11.796875" style="562" customWidth="1"/>
    <col min="5" max="5" width="12.796875" style="562" customWidth="1"/>
    <col min="6" max="6" width="10.06640625" style="563" customWidth="1"/>
    <col min="7" max="7" width="24.796875" style="562" customWidth="1"/>
    <col min="8" max="12" width="11.796875" customWidth="1"/>
    <col min="13" max="13" width="10.796875" customWidth="1"/>
    <col min="14" max="14" width="8.1328125" style="390" customWidth="1"/>
    <col min="15" max="15" width="8.59765625" style="390"/>
    <col min="16" max="16" width="11.796875" style="390" customWidth="1"/>
    <col min="17" max="17" width="8.59765625" style="390"/>
    <col min="18" max="18" width="13.59765625" style="390" customWidth="1"/>
    <col min="19" max="23" width="8.59765625" style="390"/>
    <col min="24" max="28" width="8.59765625" style="564"/>
  </cols>
  <sheetData>
    <row r="1" spans="1:14" ht="19.5" customHeight="1">
      <c r="A1" s="565" t="s">
        <v>64</v>
      </c>
      <c r="B1" s="566" t="s">
        <v>131</v>
      </c>
      <c r="C1" s="566" t="s">
        <v>132</v>
      </c>
      <c r="D1" s="565" t="s">
        <v>67</v>
      </c>
      <c r="E1" s="565" t="s">
        <v>133</v>
      </c>
      <c r="F1" s="565" t="s">
        <v>134</v>
      </c>
      <c r="G1" s="565" t="s">
        <v>135</v>
      </c>
      <c r="H1" s="390" t="s">
        <v>136</v>
      </c>
      <c r="I1" s="390" t="s">
        <v>137</v>
      </c>
      <c r="J1" s="390" t="s">
        <v>138</v>
      </c>
      <c r="K1" s="390" t="s">
        <v>139</v>
      </c>
      <c r="L1" s="390" t="s">
        <v>78</v>
      </c>
      <c r="M1" s="390"/>
      <c r="N1" s="577" t="str">
        <f>HYPERLINK("#操作平台!A3","返回操作平台")</f>
        <v>返回操作平台</v>
      </c>
    </row>
    <row r="2" spans="1:14" ht="19.5" customHeight="1">
      <c r="A2" s="560">
        <f>IF(C2&lt;&gt;"",ROW(C2)-1,"")</f>
        <v>1</v>
      </c>
      <c r="B2" s="567" t="s">
        <v>140</v>
      </c>
      <c r="C2" s="568" t="s">
        <v>141</v>
      </c>
      <c r="D2" s="569" t="s">
        <v>142</v>
      </c>
      <c r="E2" s="603" t="s">
        <v>143</v>
      </c>
      <c r="F2" s="570"/>
      <c r="G2" s="571"/>
      <c r="H2" s="572"/>
      <c r="I2" s="572"/>
      <c r="J2" s="574"/>
      <c r="K2" s="572"/>
      <c r="L2" s="572"/>
      <c r="M2" s="572"/>
      <c r="N2" s="578" t="str">
        <f>IF(A2&lt;&gt;"",HYPERLINK("#"&amp;A2&amp;"!A1","跳转"),"")</f>
        <v>跳转</v>
      </c>
    </row>
    <row r="3" spans="1:14" ht="19.5" customHeight="1">
      <c r="A3" s="560">
        <f t="shared" ref="A3:A16" si="0">IF(C3&lt;&gt;"",ROW(C3)-1,"")</f>
        <v>2</v>
      </c>
      <c r="B3" s="567" t="s">
        <v>140</v>
      </c>
      <c r="C3" s="568" t="s">
        <v>144</v>
      </c>
      <c r="D3" s="569" t="s">
        <v>145</v>
      </c>
      <c r="E3" s="603" t="s">
        <v>146</v>
      </c>
      <c r="F3" s="570"/>
      <c r="G3" s="571"/>
      <c r="H3" s="572"/>
      <c r="I3" s="572"/>
      <c r="J3" s="574"/>
      <c r="K3" s="572"/>
      <c r="L3" s="572"/>
      <c r="M3" s="572"/>
      <c r="N3" s="578" t="str">
        <f t="shared" ref="N3:N16" si="1">IF(A3&lt;&gt;"",HYPERLINK("#"&amp;A3&amp;"!A1","跳转"),"")</f>
        <v>跳转</v>
      </c>
    </row>
    <row r="4" spans="1:14" ht="19.5" customHeight="1">
      <c r="A4" s="560">
        <f t="shared" si="0"/>
        <v>3</v>
      </c>
      <c r="B4" s="567" t="s">
        <v>140</v>
      </c>
      <c r="C4" s="568" t="s">
        <v>147</v>
      </c>
      <c r="D4" s="569" t="s">
        <v>148</v>
      </c>
      <c r="E4" s="603" t="s">
        <v>149</v>
      </c>
      <c r="F4" s="570"/>
      <c r="G4" s="571"/>
      <c r="H4" s="572"/>
      <c r="I4" s="572"/>
      <c r="J4" s="574"/>
      <c r="K4" s="572"/>
      <c r="L4" s="572"/>
      <c r="M4" s="572"/>
      <c r="N4" s="578" t="str">
        <f t="shared" si="1"/>
        <v>跳转</v>
      </c>
    </row>
    <row r="5" spans="1:14" ht="19.5" customHeight="1">
      <c r="A5" s="560">
        <f t="shared" si="0"/>
        <v>4</v>
      </c>
      <c r="B5" s="567" t="s">
        <v>140</v>
      </c>
      <c r="C5" s="568" t="s">
        <v>150</v>
      </c>
      <c r="D5" s="569" t="s">
        <v>151</v>
      </c>
      <c r="E5" s="603" t="s">
        <v>152</v>
      </c>
      <c r="F5" s="570"/>
      <c r="G5" s="571"/>
      <c r="H5" s="572"/>
      <c r="I5" s="572"/>
      <c r="J5" s="574"/>
      <c r="K5" s="572"/>
      <c r="L5" s="572"/>
      <c r="M5" s="572"/>
      <c r="N5" s="578" t="str">
        <f t="shared" si="1"/>
        <v>跳转</v>
      </c>
    </row>
    <row r="6" spans="1:14" ht="19.5" customHeight="1">
      <c r="A6" s="560">
        <f t="shared" si="0"/>
        <v>5</v>
      </c>
      <c r="B6" s="567" t="s">
        <v>140</v>
      </c>
      <c r="C6" s="568" t="s">
        <v>153</v>
      </c>
      <c r="D6" s="569" t="s">
        <v>154</v>
      </c>
      <c r="E6" s="603" t="s">
        <v>155</v>
      </c>
      <c r="F6" s="570"/>
      <c r="G6" s="571"/>
      <c r="H6" s="572"/>
      <c r="I6" s="579"/>
      <c r="J6" s="574"/>
      <c r="K6" s="572"/>
      <c r="L6" s="572"/>
      <c r="M6" s="572"/>
      <c r="N6" s="578" t="str">
        <f t="shared" si="1"/>
        <v>跳转</v>
      </c>
    </row>
    <row r="7" spans="1:14" ht="19.5" customHeight="1">
      <c r="A7" s="560">
        <f t="shared" si="0"/>
        <v>6</v>
      </c>
      <c r="B7" s="567" t="s">
        <v>140</v>
      </c>
      <c r="C7" s="568" t="s">
        <v>156</v>
      </c>
      <c r="D7" s="569" t="s">
        <v>157</v>
      </c>
      <c r="E7" s="603" t="s">
        <v>158</v>
      </c>
      <c r="F7" s="570"/>
      <c r="G7" s="571"/>
      <c r="H7" s="572"/>
      <c r="I7" s="579"/>
      <c r="J7" s="574"/>
      <c r="K7" s="572"/>
      <c r="L7" s="572"/>
      <c r="M7" s="572"/>
      <c r="N7" s="578" t="str">
        <f t="shared" si="1"/>
        <v>跳转</v>
      </c>
    </row>
    <row r="8" spans="1:14" ht="19.5" customHeight="1">
      <c r="A8" s="560">
        <f t="shared" si="0"/>
        <v>7</v>
      </c>
      <c r="B8" s="567" t="s">
        <v>140</v>
      </c>
      <c r="C8" s="568" t="s">
        <v>159</v>
      </c>
      <c r="D8" s="569" t="s">
        <v>160</v>
      </c>
      <c r="E8" s="603" t="s">
        <v>161</v>
      </c>
      <c r="F8" s="570"/>
      <c r="G8" s="571"/>
      <c r="H8" s="572"/>
      <c r="I8" s="579"/>
      <c r="J8" s="574"/>
      <c r="K8" s="572"/>
      <c r="L8" s="572"/>
      <c r="M8" s="572"/>
      <c r="N8" s="578" t="str">
        <f t="shared" si="1"/>
        <v>跳转</v>
      </c>
    </row>
    <row r="9" spans="1:14" ht="19.5" customHeight="1">
      <c r="A9" s="560">
        <f t="shared" si="0"/>
        <v>8</v>
      </c>
      <c r="B9" s="567" t="s">
        <v>140</v>
      </c>
      <c r="C9" s="568" t="s">
        <v>162</v>
      </c>
      <c r="D9" s="569" t="s">
        <v>163</v>
      </c>
      <c r="E9" s="603" t="s">
        <v>164</v>
      </c>
      <c r="F9" s="570"/>
      <c r="G9" s="571"/>
      <c r="H9" s="572"/>
      <c r="I9" s="579"/>
      <c r="J9" s="574"/>
      <c r="K9" s="572"/>
      <c r="L9" s="572"/>
      <c r="M9" s="572"/>
      <c r="N9" s="578" t="str">
        <f t="shared" si="1"/>
        <v>跳转</v>
      </c>
    </row>
    <row r="10" spans="1:14" ht="19.5" customHeight="1">
      <c r="A10" s="560">
        <f t="shared" si="0"/>
        <v>9</v>
      </c>
      <c r="B10" s="567" t="s">
        <v>140</v>
      </c>
      <c r="C10" s="568" t="s">
        <v>165</v>
      </c>
      <c r="D10" s="569" t="s">
        <v>166</v>
      </c>
      <c r="E10" s="604" t="s">
        <v>167</v>
      </c>
      <c r="F10" s="570"/>
      <c r="G10" s="571"/>
      <c r="H10" s="574"/>
      <c r="I10" s="579"/>
      <c r="J10" s="574"/>
      <c r="K10" s="572"/>
      <c r="L10" s="572"/>
      <c r="M10" s="572"/>
      <c r="N10" s="578" t="str">
        <f t="shared" si="1"/>
        <v>跳转</v>
      </c>
    </row>
    <row r="11" spans="1:14" ht="19.5" customHeight="1">
      <c r="A11" s="560">
        <f t="shared" si="0"/>
        <v>10</v>
      </c>
      <c r="B11" s="567" t="s">
        <v>140</v>
      </c>
      <c r="C11" s="568" t="s">
        <v>168</v>
      </c>
      <c r="D11" s="569" t="s">
        <v>169</v>
      </c>
      <c r="E11" s="603" t="s">
        <v>170</v>
      </c>
      <c r="F11" s="570"/>
      <c r="G11" s="571"/>
      <c r="H11" s="572"/>
      <c r="I11" s="579"/>
      <c r="J11" s="574"/>
      <c r="K11" s="572"/>
      <c r="L11" s="572"/>
      <c r="M11" s="572"/>
      <c r="N11" s="578" t="str">
        <f t="shared" si="1"/>
        <v>跳转</v>
      </c>
    </row>
    <row r="12" spans="1:14" ht="19.5" customHeight="1">
      <c r="A12" s="560">
        <f t="shared" si="0"/>
        <v>11</v>
      </c>
      <c r="B12" s="567" t="s">
        <v>140</v>
      </c>
      <c r="C12" s="568" t="s">
        <v>171</v>
      </c>
      <c r="D12" s="569" t="s">
        <v>172</v>
      </c>
      <c r="E12" s="603" t="s">
        <v>173</v>
      </c>
      <c r="F12" s="570"/>
      <c r="G12" s="571"/>
      <c r="H12" s="574"/>
      <c r="I12" s="579"/>
      <c r="J12" s="574"/>
      <c r="K12" s="572"/>
      <c r="L12" s="572"/>
      <c r="M12" s="572"/>
      <c r="N12" s="578" t="str">
        <f t="shared" si="1"/>
        <v>跳转</v>
      </c>
    </row>
    <row r="13" spans="1:14" ht="19.5" customHeight="1">
      <c r="A13" s="560">
        <f t="shared" si="0"/>
        <v>12</v>
      </c>
      <c r="B13" s="567" t="s">
        <v>140</v>
      </c>
      <c r="C13" s="568" t="s">
        <v>174</v>
      </c>
      <c r="D13" s="569" t="s">
        <v>175</v>
      </c>
      <c r="E13" s="603" t="s">
        <v>176</v>
      </c>
      <c r="F13" s="570"/>
      <c r="G13" s="571"/>
      <c r="H13" s="574"/>
      <c r="I13" s="579"/>
      <c r="J13" s="574"/>
      <c r="K13" s="572"/>
      <c r="L13" s="572"/>
      <c r="M13" s="572"/>
      <c r="N13" s="578" t="str">
        <f t="shared" si="1"/>
        <v>跳转</v>
      </c>
    </row>
    <row r="14" spans="1:14" ht="19.5" customHeight="1">
      <c r="A14" s="560">
        <f t="shared" si="0"/>
        <v>13</v>
      </c>
      <c r="B14" s="567" t="s">
        <v>140</v>
      </c>
      <c r="C14" s="568" t="s">
        <v>177</v>
      </c>
      <c r="D14" s="569" t="s">
        <v>178</v>
      </c>
      <c r="E14" s="603" t="s">
        <v>179</v>
      </c>
      <c r="F14" s="570"/>
      <c r="G14" s="571"/>
      <c r="H14" s="574"/>
      <c r="I14" s="579"/>
      <c r="J14" s="574"/>
      <c r="K14" s="572"/>
      <c r="L14" s="572"/>
      <c r="M14" s="572"/>
      <c r="N14" s="578" t="str">
        <f t="shared" si="1"/>
        <v>跳转</v>
      </c>
    </row>
    <row r="15" spans="1:14" ht="19.5" customHeight="1">
      <c r="A15" s="560">
        <f t="shared" si="0"/>
        <v>14</v>
      </c>
      <c r="B15" s="567" t="s">
        <v>140</v>
      </c>
      <c r="C15" s="568" t="s">
        <v>180</v>
      </c>
      <c r="D15" s="569" t="s">
        <v>181</v>
      </c>
      <c r="E15" s="603" t="s">
        <v>182</v>
      </c>
      <c r="F15" s="570"/>
      <c r="G15" s="571"/>
      <c r="H15" s="574"/>
      <c r="I15" s="579"/>
      <c r="J15" s="574"/>
      <c r="K15" s="572"/>
      <c r="L15" s="572"/>
      <c r="M15" s="572"/>
      <c r="N15" s="578" t="str">
        <f t="shared" si="1"/>
        <v>跳转</v>
      </c>
    </row>
    <row r="16" spans="1:14" ht="19.5" customHeight="1">
      <c r="A16" s="560">
        <f t="shared" si="0"/>
        <v>15</v>
      </c>
      <c r="B16" s="567" t="s">
        <v>140</v>
      </c>
      <c r="C16" s="568" t="s">
        <v>183</v>
      </c>
      <c r="D16" s="569" t="s">
        <v>184</v>
      </c>
      <c r="E16" s="573" t="s">
        <v>185</v>
      </c>
      <c r="F16" s="570"/>
      <c r="G16" s="575"/>
      <c r="H16" s="574"/>
      <c r="I16" s="572"/>
      <c r="J16" s="574"/>
      <c r="K16" s="572"/>
      <c r="L16" s="572"/>
      <c r="M16" s="572"/>
      <c r="N16" s="578" t="str">
        <f t="shared" si="1"/>
        <v>跳转</v>
      </c>
    </row>
    <row r="17" spans="1:14" ht="19.5" customHeight="1">
      <c r="A17" s="560" t="str">
        <f t="shared" ref="A17:A53" si="2">IF(C17&lt;&gt;"",ROW(C17)-1,"")</f>
        <v/>
      </c>
      <c r="B17" s="567"/>
      <c r="C17" s="568"/>
      <c r="D17" s="576"/>
      <c r="E17" s="573"/>
      <c r="F17" s="570"/>
      <c r="G17" s="575"/>
      <c r="H17" s="574"/>
      <c r="I17" s="572"/>
      <c r="J17" s="574"/>
      <c r="K17" s="572"/>
      <c r="L17" s="572"/>
      <c r="M17" s="572"/>
      <c r="N17" s="578" t="str">
        <f t="shared" ref="N17:N45" si="3">IF(A17&lt;&gt;"",HYPERLINK("#"&amp;A17&amp;"!A1","跳转"),"")</f>
        <v/>
      </c>
    </row>
    <row r="18" spans="1:14" ht="19.5" customHeight="1">
      <c r="A18" s="560" t="str">
        <f t="shared" si="2"/>
        <v/>
      </c>
      <c r="B18" s="567"/>
      <c r="C18" s="568"/>
      <c r="D18" s="576"/>
      <c r="E18" s="573"/>
      <c r="F18" s="570"/>
      <c r="G18" s="575"/>
      <c r="H18" s="574"/>
      <c r="I18" s="572"/>
      <c r="J18" s="574"/>
      <c r="K18" s="572"/>
      <c r="L18" s="572"/>
      <c r="M18" s="572"/>
      <c r="N18" s="578" t="str">
        <f t="shared" si="3"/>
        <v/>
      </c>
    </row>
    <row r="19" spans="1:14" ht="19.5" customHeight="1">
      <c r="A19" s="560" t="str">
        <f t="shared" si="2"/>
        <v/>
      </c>
      <c r="B19" s="567"/>
      <c r="C19" s="568"/>
      <c r="D19" s="576"/>
      <c r="E19" s="573"/>
      <c r="F19" s="570"/>
      <c r="G19" s="575"/>
      <c r="H19" s="574"/>
      <c r="I19" s="572"/>
      <c r="J19" s="574"/>
      <c r="K19" s="572"/>
      <c r="L19" s="572"/>
      <c r="M19" s="572"/>
      <c r="N19" s="578" t="str">
        <f t="shared" si="3"/>
        <v/>
      </c>
    </row>
    <row r="20" spans="1:14" ht="19.5" customHeight="1">
      <c r="A20" s="560" t="str">
        <f t="shared" si="2"/>
        <v/>
      </c>
      <c r="B20" s="567"/>
      <c r="C20" s="568"/>
      <c r="D20" s="576"/>
      <c r="E20" s="573"/>
      <c r="F20" s="570"/>
      <c r="G20" s="575"/>
      <c r="H20" s="574"/>
      <c r="I20" s="572"/>
      <c r="J20" s="574"/>
      <c r="K20" s="572"/>
      <c r="L20" s="572"/>
      <c r="M20" s="572"/>
      <c r="N20" s="578" t="str">
        <f t="shared" si="3"/>
        <v/>
      </c>
    </row>
    <row r="21" spans="1:14" ht="19.5" customHeight="1">
      <c r="A21" s="560" t="str">
        <f t="shared" si="2"/>
        <v/>
      </c>
      <c r="B21" s="567"/>
      <c r="C21" s="568"/>
      <c r="D21" s="576"/>
      <c r="E21" s="573"/>
      <c r="F21" s="570"/>
      <c r="G21" s="575"/>
      <c r="H21" s="574"/>
      <c r="I21" s="572"/>
      <c r="J21" s="574"/>
      <c r="K21" s="572"/>
      <c r="L21" s="572"/>
      <c r="M21" s="572"/>
      <c r="N21" s="578" t="str">
        <f t="shared" si="3"/>
        <v/>
      </c>
    </row>
    <row r="22" spans="1:14" ht="19.5" customHeight="1">
      <c r="A22" s="560" t="str">
        <f t="shared" si="2"/>
        <v/>
      </c>
      <c r="B22" s="567"/>
      <c r="C22" s="568"/>
      <c r="D22" s="576"/>
      <c r="E22" s="573"/>
      <c r="F22" s="570"/>
      <c r="G22" s="575"/>
      <c r="H22" s="574"/>
      <c r="I22" s="572"/>
      <c r="J22" s="574"/>
      <c r="K22" s="572"/>
      <c r="L22" s="572"/>
      <c r="M22" s="572"/>
      <c r="N22" s="578" t="str">
        <f t="shared" si="3"/>
        <v/>
      </c>
    </row>
    <row r="23" spans="1:14" ht="19.5" customHeight="1">
      <c r="A23" s="560" t="str">
        <f t="shared" si="2"/>
        <v/>
      </c>
      <c r="B23" s="567"/>
      <c r="C23" s="568"/>
      <c r="D23" s="576"/>
      <c r="E23" s="573"/>
      <c r="F23" s="570"/>
      <c r="G23" s="575"/>
      <c r="H23" s="574"/>
      <c r="I23" s="572"/>
      <c r="J23" s="574"/>
      <c r="K23" s="572"/>
      <c r="L23" s="572"/>
      <c r="M23" s="572"/>
      <c r="N23" s="578" t="str">
        <f t="shared" si="3"/>
        <v/>
      </c>
    </row>
    <row r="24" spans="1:14" ht="19.5" customHeight="1">
      <c r="A24" s="560" t="str">
        <f t="shared" si="2"/>
        <v/>
      </c>
      <c r="B24" s="567"/>
      <c r="C24" s="568"/>
      <c r="D24" s="576"/>
      <c r="E24" s="573"/>
      <c r="F24" s="570"/>
      <c r="G24" s="575"/>
      <c r="H24" s="574"/>
      <c r="I24" s="572"/>
      <c r="J24" s="574"/>
      <c r="K24" s="572"/>
      <c r="L24" s="572"/>
      <c r="M24" s="572"/>
      <c r="N24" s="578" t="str">
        <f t="shared" si="3"/>
        <v/>
      </c>
    </row>
    <row r="25" spans="1:14" ht="19.5" customHeight="1">
      <c r="A25" s="560" t="str">
        <f t="shared" si="2"/>
        <v/>
      </c>
      <c r="B25" s="567"/>
      <c r="C25" s="568"/>
      <c r="D25" s="576"/>
      <c r="E25" s="573"/>
      <c r="F25" s="570"/>
      <c r="G25" s="575"/>
      <c r="H25" s="574"/>
      <c r="I25" s="572"/>
      <c r="J25" s="574"/>
      <c r="K25" s="572"/>
      <c r="L25" s="572"/>
      <c r="M25" s="572"/>
      <c r="N25" s="578" t="str">
        <f t="shared" si="3"/>
        <v/>
      </c>
    </row>
    <row r="26" spans="1:14" ht="19.5" customHeight="1">
      <c r="A26" s="560" t="str">
        <f t="shared" si="2"/>
        <v/>
      </c>
      <c r="B26" s="567"/>
      <c r="C26" s="568"/>
      <c r="D26" s="576"/>
      <c r="E26" s="573"/>
      <c r="F26" s="570"/>
      <c r="G26" s="575"/>
      <c r="H26" s="574"/>
      <c r="I26" s="572"/>
      <c r="J26" s="574"/>
      <c r="K26" s="572"/>
      <c r="L26" s="572"/>
      <c r="M26" s="572"/>
      <c r="N26" s="578" t="str">
        <f t="shared" si="3"/>
        <v/>
      </c>
    </row>
    <row r="27" spans="1:14" ht="19.5" customHeight="1">
      <c r="A27" s="560" t="str">
        <f t="shared" si="2"/>
        <v/>
      </c>
      <c r="B27" s="567"/>
      <c r="C27" s="568"/>
      <c r="D27" s="576"/>
      <c r="E27" s="573"/>
      <c r="F27" s="570"/>
      <c r="G27" s="575"/>
      <c r="H27" s="574"/>
      <c r="I27" s="572"/>
      <c r="J27" s="574"/>
      <c r="K27" s="572"/>
      <c r="L27" s="572"/>
      <c r="M27" s="572"/>
      <c r="N27" s="578" t="str">
        <f t="shared" si="3"/>
        <v/>
      </c>
    </row>
    <row r="28" spans="1:14" ht="19.5" customHeight="1">
      <c r="A28" s="560" t="str">
        <f t="shared" si="2"/>
        <v/>
      </c>
      <c r="B28" s="567"/>
      <c r="C28" s="568"/>
      <c r="D28" s="576"/>
      <c r="E28" s="573"/>
      <c r="F28" s="570"/>
      <c r="G28" s="575"/>
      <c r="H28" s="574"/>
      <c r="I28" s="572"/>
      <c r="J28" s="574"/>
      <c r="K28" s="572"/>
      <c r="L28" s="572"/>
      <c r="M28" s="572"/>
      <c r="N28" s="578" t="str">
        <f t="shared" si="3"/>
        <v/>
      </c>
    </row>
    <row r="29" spans="1:14" ht="19.5" customHeight="1">
      <c r="A29" s="560" t="str">
        <f t="shared" si="2"/>
        <v/>
      </c>
      <c r="B29" s="567"/>
      <c r="C29" s="568"/>
      <c r="D29" s="576"/>
      <c r="E29" s="573"/>
      <c r="F29" s="570"/>
      <c r="G29" s="575"/>
      <c r="H29" s="574"/>
      <c r="I29" s="572"/>
      <c r="J29" s="574"/>
      <c r="K29" s="572"/>
      <c r="L29" s="572"/>
      <c r="M29" s="572"/>
      <c r="N29" s="578" t="str">
        <f t="shared" si="3"/>
        <v/>
      </c>
    </row>
    <row r="30" spans="1:14" ht="19.5" customHeight="1">
      <c r="A30" s="560" t="str">
        <f t="shared" si="2"/>
        <v/>
      </c>
      <c r="B30" s="567"/>
      <c r="C30" s="568"/>
      <c r="D30" s="576"/>
      <c r="E30" s="573"/>
      <c r="F30" s="570"/>
      <c r="G30" s="575"/>
      <c r="H30" s="574"/>
      <c r="I30" s="572"/>
      <c r="J30" s="574"/>
      <c r="K30" s="572"/>
      <c r="L30" s="572"/>
      <c r="M30" s="572"/>
      <c r="N30" s="578" t="str">
        <f t="shared" si="3"/>
        <v/>
      </c>
    </row>
    <row r="31" spans="1:14" ht="19.5" customHeight="1">
      <c r="A31" s="560" t="str">
        <f t="shared" si="2"/>
        <v/>
      </c>
      <c r="B31" s="567"/>
      <c r="C31" s="568"/>
      <c r="D31" s="576"/>
      <c r="E31" s="573"/>
      <c r="F31" s="570"/>
      <c r="G31" s="575"/>
      <c r="H31" s="574"/>
      <c r="I31" s="572"/>
      <c r="J31" s="574"/>
      <c r="K31" s="572"/>
      <c r="L31" s="572"/>
      <c r="M31" s="572"/>
      <c r="N31" s="578" t="str">
        <f t="shared" si="3"/>
        <v/>
      </c>
    </row>
    <row r="32" spans="1:14" ht="19.5" customHeight="1">
      <c r="A32" s="560" t="str">
        <f t="shared" si="2"/>
        <v/>
      </c>
      <c r="B32" s="567"/>
      <c r="C32" s="568"/>
      <c r="D32" s="576"/>
      <c r="E32" s="573"/>
      <c r="F32" s="570"/>
      <c r="G32" s="575"/>
      <c r="H32" s="574"/>
      <c r="I32" s="572"/>
      <c r="J32" s="574"/>
      <c r="K32" s="572"/>
      <c r="L32" s="572"/>
      <c r="M32" s="572"/>
      <c r="N32" s="578" t="str">
        <f t="shared" si="3"/>
        <v/>
      </c>
    </row>
    <row r="33" spans="1:14" ht="19.5" customHeight="1">
      <c r="A33" s="560" t="str">
        <f t="shared" si="2"/>
        <v/>
      </c>
      <c r="B33" s="567"/>
      <c r="C33" s="568"/>
      <c r="D33" s="576"/>
      <c r="E33" s="573"/>
      <c r="F33" s="570"/>
      <c r="G33" s="575"/>
      <c r="H33" s="574"/>
      <c r="I33" s="572"/>
      <c r="J33" s="574"/>
      <c r="K33" s="572"/>
      <c r="L33" s="572"/>
      <c r="M33" s="572"/>
      <c r="N33" s="578" t="str">
        <f t="shared" si="3"/>
        <v/>
      </c>
    </row>
    <row r="34" spans="1:14" ht="19.5" customHeight="1">
      <c r="A34" s="560" t="str">
        <f t="shared" si="2"/>
        <v/>
      </c>
      <c r="B34" s="567"/>
      <c r="C34" s="568"/>
      <c r="D34" s="576"/>
      <c r="E34" s="573"/>
      <c r="F34" s="570"/>
      <c r="G34" s="575"/>
      <c r="H34" s="574"/>
      <c r="I34" s="572"/>
      <c r="J34" s="574"/>
      <c r="K34" s="572"/>
      <c r="L34" s="572"/>
      <c r="M34" s="572"/>
      <c r="N34" s="578" t="str">
        <f t="shared" si="3"/>
        <v/>
      </c>
    </row>
    <row r="35" spans="1:14" ht="19.5" customHeight="1">
      <c r="A35" s="560" t="str">
        <f t="shared" si="2"/>
        <v/>
      </c>
      <c r="B35" s="567"/>
      <c r="C35" s="568"/>
      <c r="D35" s="576"/>
      <c r="E35" s="573"/>
      <c r="F35" s="570"/>
      <c r="G35" s="575"/>
      <c r="H35" s="574"/>
      <c r="I35" s="572"/>
      <c r="J35" s="574"/>
      <c r="K35" s="572"/>
      <c r="L35" s="572"/>
      <c r="M35" s="572"/>
      <c r="N35" s="578" t="str">
        <f t="shared" si="3"/>
        <v/>
      </c>
    </row>
    <row r="36" spans="1:14" ht="19.5" customHeight="1">
      <c r="A36" s="560" t="str">
        <f t="shared" si="2"/>
        <v/>
      </c>
      <c r="B36" s="567"/>
      <c r="C36" s="568"/>
      <c r="D36" s="576"/>
      <c r="E36" s="573"/>
      <c r="F36" s="570"/>
      <c r="G36" s="575"/>
      <c r="H36" s="574"/>
      <c r="I36" s="572"/>
      <c r="J36" s="574"/>
      <c r="K36" s="572"/>
      <c r="L36" s="572"/>
      <c r="M36" s="572"/>
      <c r="N36" s="578" t="str">
        <f t="shared" si="3"/>
        <v/>
      </c>
    </row>
    <row r="37" spans="1:14" ht="19.5" customHeight="1">
      <c r="A37" s="560" t="str">
        <f t="shared" si="2"/>
        <v/>
      </c>
      <c r="B37" s="567"/>
      <c r="C37" s="568"/>
      <c r="D37" s="576"/>
      <c r="E37" s="573"/>
      <c r="F37" s="570"/>
      <c r="G37" s="575"/>
      <c r="H37" s="574"/>
      <c r="I37" s="572"/>
      <c r="J37" s="574"/>
      <c r="K37" s="572"/>
      <c r="L37" s="572"/>
      <c r="M37" s="572"/>
      <c r="N37" s="578" t="str">
        <f t="shared" si="3"/>
        <v/>
      </c>
    </row>
    <row r="38" spans="1:14" ht="19.5" customHeight="1">
      <c r="A38" s="560" t="str">
        <f t="shared" si="2"/>
        <v/>
      </c>
      <c r="B38" s="567"/>
      <c r="C38" s="568"/>
      <c r="D38" s="576"/>
      <c r="E38" s="573"/>
      <c r="F38" s="570"/>
      <c r="G38" s="575"/>
      <c r="H38" s="574"/>
      <c r="I38" s="572"/>
      <c r="J38" s="574"/>
      <c r="K38" s="572"/>
      <c r="L38" s="572"/>
      <c r="M38" s="572"/>
      <c r="N38" s="578" t="str">
        <f t="shared" si="3"/>
        <v/>
      </c>
    </row>
    <row r="39" spans="1:14" ht="19.5" customHeight="1">
      <c r="A39" s="560" t="str">
        <f t="shared" si="2"/>
        <v/>
      </c>
      <c r="B39" s="567"/>
      <c r="C39" s="568"/>
      <c r="D39" s="576"/>
      <c r="E39" s="573"/>
      <c r="F39" s="570"/>
      <c r="G39" s="575"/>
      <c r="H39" s="574"/>
      <c r="I39" s="572"/>
      <c r="J39" s="574"/>
      <c r="K39" s="572"/>
      <c r="L39" s="572"/>
      <c r="M39" s="572"/>
      <c r="N39" s="578" t="str">
        <f t="shared" si="3"/>
        <v/>
      </c>
    </row>
    <row r="40" spans="1:14" ht="19.5" customHeight="1">
      <c r="A40" s="560" t="str">
        <f t="shared" si="2"/>
        <v/>
      </c>
      <c r="B40" s="567"/>
      <c r="C40" s="568"/>
      <c r="D40" s="576"/>
      <c r="E40" s="573"/>
      <c r="F40" s="570"/>
      <c r="G40" s="575"/>
      <c r="H40" s="574"/>
      <c r="I40" s="572"/>
      <c r="J40" s="574"/>
      <c r="K40" s="572"/>
      <c r="L40" s="572"/>
      <c r="M40" s="572"/>
      <c r="N40" s="578" t="str">
        <f t="shared" si="3"/>
        <v/>
      </c>
    </row>
    <row r="41" spans="1:14" ht="19.5" customHeight="1">
      <c r="A41" s="560" t="str">
        <f t="shared" si="2"/>
        <v/>
      </c>
      <c r="B41" s="567"/>
      <c r="C41" s="568"/>
      <c r="D41" s="576"/>
      <c r="E41" s="573"/>
      <c r="F41" s="570"/>
      <c r="G41" s="575"/>
      <c r="H41" s="574"/>
      <c r="I41" s="572"/>
      <c r="J41" s="574"/>
      <c r="K41" s="572"/>
      <c r="L41" s="572"/>
      <c r="M41" s="572"/>
      <c r="N41" s="578" t="str">
        <f t="shared" si="3"/>
        <v/>
      </c>
    </row>
    <row r="42" spans="1:14" ht="19.5" customHeight="1">
      <c r="A42" s="560" t="str">
        <f t="shared" si="2"/>
        <v/>
      </c>
      <c r="B42" s="567"/>
      <c r="C42" s="568"/>
      <c r="D42" s="576"/>
      <c r="E42" s="573"/>
      <c r="F42" s="570"/>
      <c r="G42" s="575"/>
      <c r="H42" s="574"/>
      <c r="I42" s="572"/>
      <c r="J42" s="574"/>
      <c r="K42" s="572"/>
      <c r="L42" s="572"/>
      <c r="M42" s="572"/>
      <c r="N42" s="578" t="str">
        <f t="shared" si="3"/>
        <v/>
      </c>
    </row>
    <row r="43" spans="1:14" ht="19.5" customHeight="1">
      <c r="A43" s="560" t="str">
        <f t="shared" si="2"/>
        <v/>
      </c>
      <c r="B43" s="567"/>
      <c r="C43" s="568"/>
      <c r="D43" s="576"/>
      <c r="E43" s="573"/>
      <c r="F43" s="570"/>
      <c r="G43" s="575"/>
      <c r="H43" s="574"/>
      <c r="I43" s="572"/>
      <c r="J43" s="574"/>
      <c r="K43" s="572"/>
      <c r="L43" s="572"/>
      <c r="M43" s="572"/>
      <c r="N43" s="578" t="str">
        <f t="shared" si="3"/>
        <v/>
      </c>
    </row>
    <row r="44" spans="1:14" ht="19.5" customHeight="1">
      <c r="A44" s="560" t="str">
        <f t="shared" si="2"/>
        <v/>
      </c>
      <c r="B44" s="567"/>
      <c r="C44" s="568"/>
      <c r="D44" s="576"/>
      <c r="E44" s="573"/>
      <c r="F44" s="570"/>
      <c r="G44" s="575"/>
      <c r="H44" s="574"/>
      <c r="I44" s="572"/>
      <c r="J44" s="574"/>
      <c r="K44" s="572"/>
      <c r="L44" s="572"/>
      <c r="M44" s="572"/>
      <c r="N44" s="578" t="str">
        <f t="shared" si="3"/>
        <v/>
      </c>
    </row>
    <row r="45" spans="1:14" ht="19.5" customHeight="1">
      <c r="A45" s="560" t="str">
        <f t="shared" si="2"/>
        <v/>
      </c>
      <c r="B45" s="567"/>
      <c r="C45" s="568"/>
      <c r="D45" s="576"/>
      <c r="E45" s="573"/>
      <c r="F45" s="570"/>
      <c r="G45" s="575"/>
      <c r="H45" s="574"/>
      <c r="I45" s="572"/>
      <c r="J45" s="574"/>
      <c r="K45" s="572"/>
      <c r="L45" s="572"/>
      <c r="M45" s="572"/>
      <c r="N45" s="578" t="str">
        <f t="shared" si="3"/>
        <v/>
      </c>
    </row>
    <row r="46" spans="1:14" ht="19.5" customHeight="1">
      <c r="A46" s="560" t="str">
        <f t="shared" si="2"/>
        <v/>
      </c>
      <c r="B46" s="567"/>
      <c r="C46" s="568"/>
      <c r="D46" s="576"/>
      <c r="E46" s="573"/>
      <c r="F46" s="570"/>
      <c r="G46" s="575"/>
      <c r="H46" s="574"/>
      <c r="I46" s="572"/>
      <c r="J46" s="574"/>
      <c r="K46" s="572"/>
      <c r="L46" s="572"/>
      <c r="M46" s="572"/>
      <c r="N46" s="578" t="str">
        <f t="shared" ref="N46:N109" si="4">IF(A46&lt;&gt;"",HYPERLINK("#"&amp;A46&amp;"!A1","跳转"),"")</f>
        <v/>
      </c>
    </row>
    <row r="47" spans="1:14" ht="19.5" customHeight="1">
      <c r="A47" s="560" t="str">
        <f t="shared" si="2"/>
        <v/>
      </c>
      <c r="B47" s="567"/>
      <c r="C47" s="568"/>
      <c r="D47" s="576"/>
      <c r="E47" s="573"/>
      <c r="F47" s="570"/>
      <c r="G47" s="575"/>
      <c r="H47" s="574"/>
      <c r="I47" s="572"/>
      <c r="J47" s="574"/>
      <c r="K47" s="572"/>
      <c r="L47" s="572"/>
      <c r="M47" s="572"/>
      <c r="N47" s="578" t="str">
        <f t="shared" si="4"/>
        <v/>
      </c>
    </row>
    <row r="48" spans="1:14" ht="19.5" customHeight="1">
      <c r="A48" s="560" t="str">
        <f t="shared" si="2"/>
        <v/>
      </c>
      <c r="B48" s="567"/>
      <c r="C48" s="568"/>
      <c r="D48" s="576"/>
      <c r="E48" s="573"/>
      <c r="F48" s="570"/>
      <c r="G48" s="575"/>
      <c r="H48" s="574"/>
      <c r="I48" s="572"/>
      <c r="J48" s="574"/>
      <c r="K48" s="572"/>
      <c r="L48" s="572"/>
      <c r="M48" s="572"/>
      <c r="N48" s="578" t="str">
        <f t="shared" si="4"/>
        <v/>
      </c>
    </row>
    <row r="49" spans="1:14" ht="19.5" customHeight="1">
      <c r="A49" s="560" t="str">
        <f t="shared" si="2"/>
        <v/>
      </c>
      <c r="B49" s="567"/>
      <c r="C49" s="568"/>
      <c r="D49" s="576"/>
      <c r="E49" s="573"/>
      <c r="F49" s="570"/>
      <c r="G49" s="575"/>
      <c r="H49" s="574"/>
      <c r="I49" s="572"/>
      <c r="J49" s="574"/>
      <c r="K49" s="572"/>
      <c r="L49" s="572"/>
      <c r="M49" s="572"/>
      <c r="N49" s="578" t="str">
        <f t="shared" si="4"/>
        <v/>
      </c>
    </row>
    <row r="50" spans="1:14" ht="19.5" customHeight="1">
      <c r="A50" s="560" t="str">
        <f t="shared" si="2"/>
        <v/>
      </c>
      <c r="B50" s="567"/>
      <c r="C50" s="568"/>
      <c r="D50" s="576"/>
      <c r="E50" s="573"/>
      <c r="F50" s="570"/>
      <c r="G50" s="575"/>
      <c r="H50" s="574"/>
      <c r="I50" s="572"/>
      <c r="J50" s="574"/>
      <c r="K50" s="572"/>
      <c r="L50" s="572"/>
      <c r="M50" s="572"/>
      <c r="N50" s="578" t="str">
        <f t="shared" si="4"/>
        <v/>
      </c>
    </row>
    <row r="51" spans="1:14" ht="19.5" customHeight="1">
      <c r="A51" s="560" t="str">
        <f t="shared" si="2"/>
        <v/>
      </c>
      <c r="B51" s="567"/>
      <c r="C51" s="568"/>
      <c r="D51" s="576"/>
      <c r="E51" s="573"/>
      <c r="F51" s="570"/>
      <c r="G51" s="575"/>
      <c r="H51" s="574"/>
      <c r="I51" s="572"/>
      <c r="J51" s="574"/>
      <c r="K51" s="572"/>
      <c r="L51" s="572"/>
      <c r="M51" s="572"/>
      <c r="N51" s="578" t="str">
        <f t="shared" si="4"/>
        <v/>
      </c>
    </row>
    <row r="52" spans="1:14" ht="19.5" customHeight="1">
      <c r="A52" s="560" t="str">
        <f t="shared" si="2"/>
        <v/>
      </c>
      <c r="B52" s="567"/>
      <c r="C52" s="568"/>
      <c r="D52" s="576"/>
      <c r="E52" s="573"/>
      <c r="F52" s="570"/>
      <c r="G52" s="575"/>
      <c r="H52" s="574"/>
      <c r="I52" s="572"/>
      <c r="J52" s="574"/>
      <c r="K52" s="572"/>
      <c r="L52" s="572"/>
      <c r="M52" s="572"/>
      <c r="N52" s="578" t="str">
        <f t="shared" si="4"/>
        <v/>
      </c>
    </row>
    <row r="53" spans="1:14" ht="19.5" customHeight="1">
      <c r="A53" s="560" t="str">
        <f t="shared" si="2"/>
        <v/>
      </c>
      <c r="B53" s="567"/>
      <c r="C53" s="568"/>
      <c r="D53" s="576"/>
      <c r="E53" s="573"/>
      <c r="F53" s="570"/>
      <c r="G53" s="575"/>
      <c r="H53" s="574"/>
      <c r="I53" s="572"/>
      <c r="J53" s="574"/>
      <c r="K53" s="572"/>
      <c r="L53" s="572"/>
      <c r="M53" s="572"/>
      <c r="N53" s="578" t="str">
        <f t="shared" si="4"/>
        <v/>
      </c>
    </row>
    <row r="54" spans="1:14" ht="19.5" customHeight="1">
      <c r="A54" s="560" t="str">
        <f t="shared" ref="A54:A117" si="5">IF(C54&lt;&gt;"",ROW(C54)-1,"")</f>
        <v/>
      </c>
      <c r="B54" s="567"/>
      <c r="C54" s="568"/>
      <c r="D54" s="576"/>
      <c r="E54" s="573"/>
      <c r="F54" s="570"/>
      <c r="G54" s="575"/>
      <c r="H54" s="574"/>
      <c r="I54" s="572"/>
      <c r="J54" s="574"/>
      <c r="K54" s="572"/>
      <c r="L54" s="572"/>
      <c r="M54" s="572"/>
      <c r="N54" s="578" t="str">
        <f t="shared" si="4"/>
        <v/>
      </c>
    </row>
    <row r="55" spans="1:14" ht="19.5" customHeight="1">
      <c r="A55" s="560" t="str">
        <f t="shared" si="5"/>
        <v/>
      </c>
      <c r="B55" s="567"/>
      <c r="C55" s="568"/>
      <c r="D55" s="576"/>
      <c r="E55" s="573"/>
      <c r="F55" s="570"/>
      <c r="G55" s="575"/>
      <c r="H55" s="574"/>
      <c r="I55" s="572"/>
      <c r="J55" s="574"/>
      <c r="K55" s="572"/>
      <c r="L55" s="572"/>
      <c r="M55" s="572"/>
      <c r="N55" s="578" t="str">
        <f t="shared" si="4"/>
        <v/>
      </c>
    </row>
    <row r="56" spans="1:14" ht="19.5" customHeight="1">
      <c r="A56" s="560" t="str">
        <f t="shared" si="5"/>
        <v/>
      </c>
      <c r="B56" s="567"/>
      <c r="C56" s="568"/>
      <c r="D56" s="576"/>
      <c r="E56" s="573"/>
      <c r="F56" s="570"/>
      <c r="G56" s="575"/>
      <c r="H56" s="574"/>
      <c r="I56" s="572"/>
      <c r="J56" s="574"/>
      <c r="K56" s="572"/>
      <c r="L56" s="572"/>
      <c r="M56" s="572"/>
      <c r="N56" s="578" t="str">
        <f t="shared" si="4"/>
        <v/>
      </c>
    </row>
    <row r="57" spans="1:14" ht="19.5" customHeight="1">
      <c r="A57" s="560" t="str">
        <f t="shared" si="5"/>
        <v/>
      </c>
      <c r="B57" s="567"/>
      <c r="C57" s="568"/>
      <c r="D57" s="576"/>
      <c r="E57" s="573"/>
      <c r="F57" s="570"/>
      <c r="G57" s="575"/>
      <c r="H57" s="574"/>
      <c r="I57" s="572"/>
      <c r="J57" s="574"/>
      <c r="K57" s="572"/>
      <c r="L57" s="572"/>
      <c r="M57" s="572"/>
      <c r="N57" s="578" t="str">
        <f t="shared" si="4"/>
        <v/>
      </c>
    </row>
    <row r="58" spans="1:14" ht="19.5" customHeight="1">
      <c r="A58" s="560" t="str">
        <f t="shared" si="5"/>
        <v/>
      </c>
      <c r="B58" s="567"/>
      <c r="C58" s="568"/>
      <c r="D58" s="576"/>
      <c r="E58" s="573"/>
      <c r="F58" s="570"/>
      <c r="G58" s="575"/>
      <c r="H58" s="574"/>
      <c r="I58" s="572"/>
      <c r="J58" s="574"/>
      <c r="K58" s="572"/>
      <c r="L58" s="572"/>
      <c r="M58" s="572"/>
      <c r="N58" s="578" t="str">
        <f t="shared" si="4"/>
        <v/>
      </c>
    </row>
    <row r="59" spans="1:14" ht="19.5" customHeight="1">
      <c r="A59" s="560" t="str">
        <f t="shared" si="5"/>
        <v/>
      </c>
      <c r="B59" s="567"/>
      <c r="C59" s="568"/>
      <c r="D59" s="576"/>
      <c r="E59" s="573"/>
      <c r="F59" s="570"/>
      <c r="G59" s="575"/>
      <c r="H59" s="574"/>
      <c r="I59" s="572"/>
      <c r="J59" s="574"/>
      <c r="K59" s="572"/>
      <c r="L59" s="572"/>
      <c r="M59" s="572"/>
      <c r="N59" s="578" t="str">
        <f t="shared" si="4"/>
        <v/>
      </c>
    </row>
    <row r="60" spans="1:14" ht="19.5" customHeight="1">
      <c r="A60" s="560" t="str">
        <f t="shared" si="5"/>
        <v/>
      </c>
      <c r="B60" s="567"/>
      <c r="C60" s="568"/>
      <c r="D60" s="576"/>
      <c r="E60" s="573"/>
      <c r="F60" s="570"/>
      <c r="G60" s="575"/>
      <c r="H60" s="574"/>
      <c r="I60" s="572"/>
      <c r="J60" s="574"/>
      <c r="K60" s="572"/>
      <c r="L60" s="572"/>
      <c r="M60" s="572"/>
      <c r="N60" s="578" t="str">
        <f t="shared" si="4"/>
        <v/>
      </c>
    </row>
    <row r="61" spans="1:14" ht="19.5" customHeight="1">
      <c r="A61" s="560" t="str">
        <f t="shared" si="5"/>
        <v/>
      </c>
      <c r="B61" s="567"/>
      <c r="C61" s="568"/>
      <c r="D61" s="576"/>
      <c r="E61" s="573"/>
      <c r="F61" s="570"/>
      <c r="G61" s="575"/>
      <c r="H61" s="574"/>
      <c r="I61" s="572"/>
      <c r="J61" s="574"/>
      <c r="K61" s="572"/>
      <c r="L61" s="572"/>
      <c r="M61" s="572"/>
      <c r="N61" s="578" t="str">
        <f t="shared" si="4"/>
        <v/>
      </c>
    </row>
    <row r="62" spans="1:14" ht="19.5" customHeight="1">
      <c r="A62" s="560" t="str">
        <f t="shared" si="5"/>
        <v/>
      </c>
      <c r="B62" s="567"/>
      <c r="C62" s="568"/>
      <c r="D62" s="576"/>
      <c r="E62" s="573"/>
      <c r="F62" s="570"/>
      <c r="G62" s="575"/>
      <c r="H62" s="574"/>
      <c r="I62" s="572"/>
      <c r="J62" s="574"/>
      <c r="K62" s="572"/>
      <c r="L62" s="572"/>
      <c r="M62" s="572"/>
      <c r="N62" s="578" t="str">
        <f t="shared" si="4"/>
        <v/>
      </c>
    </row>
    <row r="63" spans="1:14" ht="19.5" customHeight="1">
      <c r="A63" s="560" t="str">
        <f t="shared" si="5"/>
        <v/>
      </c>
      <c r="B63" s="567"/>
      <c r="C63" s="568"/>
      <c r="D63" s="576"/>
      <c r="E63" s="573"/>
      <c r="F63" s="570"/>
      <c r="G63" s="575"/>
      <c r="H63" s="574"/>
      <c r="I63" s="572"/>
      <c r="J63" s="574"/>
      <c r="K63" s="572"/>
      <c r="L63" s="572"/>
      <c r="M63" s="572"/>
      <c r="N63" s="578" t="str">
        <f t="shared" si="4"/>
        <v/>
      </c>
    </row>
    <row r="64" spans="1:14" ht="19.5" customHeight="1">
      <c r="A64" s="560" t="str">
        <f t="shared" si="5"/>
        <v/>
      </c>
      <c r="B64" s="567"/>
      <c r="C64" s="568"/>
      <c r="D64" s="576"/>
      <c r="E64" s="573"/>
      <c r="F64" s="570"/>
      <c r="G64" s="575"/>
      <c r="H64" s="574"/>
      <c r="I64" s="572"/>
      <c r="J64" s="574"/>
      <c r="K64" s="572"/>
      <c r="L64" s="572"/>
      <c r="M64" s="572"/>
      <c r="N64" s="578" t="str">
        <f t="shared" si="4"/>
        <v/>
      </c>
    </row>
    <row r="65" spans="1:14" ht="19.5" customHeight="1">
      <c r="A65" s="560" t="str">
        <f t="shared" si="5"/>
        <v/>
      </c>
      <c r="B65" s="567"/>
      <c r="C65" s="568"/>
      <c r="D65" s="576"/>
      <c r="E65" s="573"/>
      <c r="F65" s="570"/>
      <c r="G65" s="575"/>
      <c r="H65" s="574"/>
      <c r="I65" s="572"/>
      <c r="J65" s="574"/>
      <c r="K65" s="572"/>
      <c r="L65" s="572"/>
      <c r="M65" s="572"/>
      <c r="N65" s="578" t="str">
        <f t="shared" si="4"/>
        <v/>
      </c>
    </row>
    <row r="66" spans="1:14" ht="19.5" customHeight="1">
      <c r="A66" s="560" t="str">
        <f t="shared" si="5"/>
        <v/>
      </c>
      <c r="B66" s="567"/>
      <c r="C66" s="568"/>
      <c r="D66" s="576"/>
      <c r="E66" s="573"/>
      <c r="F66" s="570"/>
      <c r="G66" s="575"/>
      <c r="H66" s="574"/>
      <c r="I66" s="572"/>
      <c r="J66" s="574"/>
      <c r="K66" s="572"/>
      <c r="L66" s="572"/>
      <c r="M66" s="572"/>
      <c r="N66" s="578" t="str">
        <f t="shared" si="4"/>
        <v/>
      </c>
    </row>
    <row r="67" spans="1:14" ht="19.5" customHeight="1">
      <c r="A67" s="560" t="str">
        <f t="shared" si="5"/>
        <v/>
      </c>
      <c r="B67" s="567"/>
      <c r="C67" s="568"/>
      <c r="D67" s="576"/>
      <c r="E67" s="573"/>
      <c r="F67" s="570"/>
      <c r="G67" s="575"/>
      <c r="H67" s="574"/>
      <c r="I67" s="572"/>
      <c r="J67" s="574"/>
      <c r="K67" s="572"/>
      <c r="L67" s="572"/>
      <c r="M67" s="572"/>
      <c r="N67" s="578" t="str">
        <f t="shared" si="4"/>
        <v/>
      </c>
    </row>
    <row r="68" spans="1:14" ht="19.5" customHeight="1">
      <c r="A68" s="560" t="str">
        <f t="shared" si="5"/>
        <v/>
      </c>
      <c r="B68" s="567"/>
      <c r="C68" s="568"/>
      <c r="D68" s="576"/>
      <c r="E68" s="573"/>
      <c r="F68" s="570"/>
      <c r="G68" s="575"/>
      <c r="H68" s="574"/>
      <c r="I68" s="572"/>
      <c r="J68" s="574"/>
      <c r="K68" s="572"/>
      <c r="L68" s="572"/>
      <c r="M68" s="572"/>
      <c r="N68" s="578" t="str">
        <f t="shared" si="4"/>
        <v/>
      </c>
    </row>
    <row r="69" spans="1:14" ht="19.5" customHeight="1">
      <c r="A69" s="560" t="str">
        <f t="shared" si="5"/>
        <v/>
      </c>
      <c r="B69" s="567"/>
      <c r="C69" s="568"/>
      <c r="D69" s="576"/>
      <c r="E69" s="573"/>
      <c r="F69" s="570"/>
      <c r="G69" s="575"/>
      <c r="H69" s="574"/>
      <c r="I69" s="572"/>
      <c r="J69" s="574"/>
      <c r="K69" s="572"/>
      <c r="L69" s="572"/>
      <c r="M69" s="572"/>
      <c r="N69" s="578" t="str">
        <f t="shared" si="4"/>
        <v/>
      </c>
    </row>
    <row r="70" spans="1:14" ht="19.5" customHeight="1">
      <c r="A70" s="560" t="str">
        <f t="shared" si="5"/>
        <v/>
      </c>
      <c r="B70" s="567"/>
      <c r="C70" s="568"/>
      <c r="D70" s="576"/>
      <c r="E70" s="573"/>
      <c r="F70" s="570"/>
      <c r="G70" s="575"/>
      <c r="H70" s="574"/>
      <c r="I70" s="572"/>
      <c r="J70" s="574"/>
      <c r="K70" s="572"/>
      <c r="L70" s="572"/>
      <c r="M70" s="572"/>
      <c r="N70" s="578" t="str">
        <f t="shared" si="4"/>
        <v/>
      </c>
    </row>
    <row r="71" spans="1:14" ht="19.5" customHeight="1">
      <c r="A71" s="560" t="str">
        <f t="shared" si="5"/>
        <v/>
      </c>
      <c r="B71" s="567"/>
      <c r="C71" s="568"/>
      <c r="D71" s="576"/>
      <c r="E71" s="573"/>
      <c r="F71" s="570"/>
      <c r="G71" s="575"/>
      <c r="H71" s="574"/>
      <c r="I71" s="572"/>
      <c r="J71" s="574"/>
      <c r="K71" s="572"/>
      <c r="L71" s="572"/>
      <c r="M71" s="572"/>
      <c r="N71" s="578" t="str">
        <f t="shared" si="4"/>
        <v/>
      </c>
    </row>
    <row r="72" spans="1:14" ht="19.5" customHeight="1">
      <c r="A72" s="560" t="str">
        <f t="shared" si="5"/>
        <v/>
      </c>
      <c r="B72" s="567"/>
      <c r="C72" s="568"/>
      <c r="D72" s="576"/>
      <c r="E72" s="573"/>
      <c r="F72" s="570"/>
      <c r="G72" s="575"/>
      <c r="H72" s="574"/>
      <c r="I72" s="572"/>
      <c r="J72" s="574"/>
      <c r="K72" s="572"/>
      <c r="L72" s="572"/>
      <c r="M72" s="572"/>
      <c r="N72" s="578" t="str">
        <f t="shared" si="4"/>
        <v/>
      </c>
    </row>
    <row r="73" spans="1:14" ht="19.5" customHeight="1">
      <c r="A73" s="560" t="str">
        <f t="shared" si="5"/>
        <v/>
      </c>
      <c r="B73" s="567"/>
      <c r="C73" s="568"/>
      <c r="D73" s="576"/>
      <c r="E73" s="573"/>
      <c r="F73" s="570"/>
      <c r="G73" s="575"/>
      <c r="H73" s="574"/>
      <c r="I73" s="572"/>
      <c r="J73" s="574"/>
      <c r="K73" s="572"/>
      <c r="L73" s="572"/>
      <c r="M73" s="572"/>
      <c r="N73" s="578" t="str">
        <f t="shared" si="4"/>
        <v/>
      </c>
    </row>
    <row r="74" spans="1:14" ht="19.5" customHeight="1">
      <c r="A74" s="560" t="str">
        <f t="shared" si="5"/>
        <v/>
      </c>
      <c r="B74" s="567"/>
      <c r="C74" s="568"/>
      <c r="D74" s="576"/>
      <c r="E74" s="573"/>
      <c r="F74" s="570"/>
      <c r="G74" s="575"/>
      <c r="H74" s="574"/>
      <c r="I74" s="572"/>
      <c r="J74" s="574"/>
      <c r="K74" s="572"/>
      <c r="L74" s="572"/>
      <c r="M74" s="572"/>
      <c r="N74" s="578" t="str">
        <f t="shared" si="4"/>
        <v/>
      </c>
    </row>
    <row r="75" spans="1:14" ht="19.5" customHeight="1">
      <c r="A75" s="560" t="str">
        <f t="shared" si="5"/>
        <v/>
      </c>
      <c r="B75" s="567"/>
      <c r="C75" s="568"/>
      <c r="D75" s="576"/>
      <c r="E75" s="573"/>
      <c r="F75" s="570"/>
      <c r="G75" s="575"/>
      <c r="H75" s="574"/>
      <c r="I75" s="572"/>
      <c r="J75" s="574"/>
      <c r="K75" s="572"/>
      <c r="L75" s="572"/>
      <c r="M75" s="572"/>
      <c r="N75" s="578" t="str">
        <f t="shared" si="4"/>
        <v/>
      </c>
    </row>
    <row r="76" spans="1:14" ht="19.5" customHeight="1">
      <c r="A76" s="560" t="str">
        <f t="shared" si="5"/>
        <v/>
      </c>
      <c r="B76" s="567"/>
      <c r="C76" s="568"/>
      <c r="D76" s="576"/>
      <c r="E76" s="573"/>
      <c r="F76" s="570"/>
      <c r="G76" s="575"/>
      <c r="H76" s="574"/>
      <c r="I76" s="572"/>
      <c r="J76" s="574"/>
      <c r="K76" s="572"/>
      <c r="L76" s="572"/>
      <c r="M76" s="572"/>
      <c r="N76" s="578" t="str">
        <f t="shared" si="4"/>
        <v/>
      </c>
    </row>
    <row r="77" spans="1:14" ht="19.5" customHeight="1">
      <c r="A77" s="560" t="str">
        <f t="shared" si="5"/>
        <v/>
      </c>
      <c r="B77" s="567"/>
      <c r="C77" s="568"/>
      <c r="D77" s="576"/>
      <c r="E77" s="573"/>
      <c r="F77" s="570"/>
      <c r="G77" s="575"/>
      <c r="H77" s="574"/>
      <c r="I77" s="572"/>
      <c r="J77" s="574"/>
      <c r="K77" s="572"/>
      <c r="L77" s="572"/>
      <c r="M77" s="572"/>
      <c r="N77" s="578" t="str">
        <f t="shared" si="4"/>
        <v/>
      </c>
    </row>
    <row r="78" spans="1:14" ht="19.5" customHeight="1">
      <c r="A78" s="560" t="str">
        <f t="shared" si="5"/>
        <v/>
      </c>
      <c r="B78" s="567"/>
      <c r="C78" s="568"/>
      <c r="D78" s="576"/>
      <c r="E78" s="573"/>
      <c r="F78" s="570"/>
      <c r="G78" s="575"/>
      <c r="H78" s="574"/>
      <c r="I78" s="572"/>
      <c r="J78" s="574"/>
      <c r="K78" s="572"/>
      <c r="L78" s="572"/>
      <c r="M78" s="572"/>
      <c r="N78" s="578" t="str">
        <f t="shared" si="4"/>
        <v/>
      </c>
    </row>
    <row r="79" spans="1:14" ht="19.5" customHeight="1">
      <c r="A79" s="560" t="str">
        <f t="shared" si="5"/>
        <v/>
      </c>
      <c r="B79" s="567"/>
      <c r="C79" s="568"/>
      <c r="D79" s="576"/>
      <c r="E79" s="573"/>
      <c r="F79" s="570"/>
      <c r="G79" s="575"/>
      <c r="H79" s="574"/>
      <c r="I79" s="572"/>
      <c r="J79" s="574"/>
      <c r="K79" s="572"/>
      <c r="L79" s="572"/>
      <c r="M79" s="572"/>
      <c r="N79" s="578" t="str">
        <f t="shared" si="4"/>
        <v/>
      </c>
    </row>
    <row r="80" spans="1:14" ht="19.5" customHeight="1">
      <c r="A80" s="560" t="str">
        <f t="shared" si="5"/>
        <v/>
      </c>
      <c r="B80" s="567"/>
      <c r="C80" s="568"/>
      <c r="D80" s="576"/>
      <c r="E80" s="573"/>
      <c r="F80" s="570"/>
      <c r="G80" s="575"/>
      <c r="H80" s="574"/>
      <c r="I80" s="572"/>
      <c r="J80" s="574"/>
      <c r="K80" s="572"/>
      <c r="L80" s="572"/>
      <c r="M80" s="572"/>
      <c r="N80" s="578" t="str">
        <f t="shared" si="4"/>
        <v/>
      </c>
    </row>
    <row r="81" spans="1:14" ht="19.5" customHeight="1">
      <c r="A81" s="560" t="str">
        <f t="shared" si="5"/>
        <v/>
      </c>
      <c r="B81" s="567"/>
      <c r="C81" s="568"/>
      <c r="D81" s="576"/>
      <c r="E81" s="573"/>
      <c r="F81" s="570"/>
      <c r="G81" s="575"/>
      <c r="H81" s="574"/>
      <c r="I81" s="572"/>
      <c r="J81" s="574"/>
      <c r="K81" s="572"/>
      <c r="L81" s="572"/>
      <c r="M81" s="572"/>
      <c r="N81" s="578" t="str">
        <f t="shared" si="4"/>
        <v/>
      </c>
    </row>
    <row r="82" spans="1:14" ht="19.5" customHeight="1">
      <c r="A82" s="560" t="str">
        <f t="shared" si="5"/>
        <v/>
      </c>
      <c r="B82" s="567"/>
      <c r="C82" s="568"/>
      <c r="D82" s="576"/>
      <c r="E82" s="573"/>
      <c r="F82" s="570"/>
      <c r="G82" s="575"/>
      <c r="H82" s="574"/>
      <c r="I82" s="572"/>
      <c r="J82" s="574"/>
      <c r="K82" s="572"/>
      <c r="L82" s="572"/>
      <c r="M82" s="572"/>
      <c r="N82" s="578" t="str">
        <f t="shared" si="4"/>
        <v/>
      </c>
    </row>
    <row r="83" spans="1:14" ht="19.5" customHeight="1">
      <c r="A83" s="560" t="str">
        <f t="shared" si="5"/>
        <v/>
      </c>
      <c r="B83" s="567"/>
      <c r="C83" s="568"/>
      <c r="D83" s="576"/>
      <c r="E83" s="573"/>
      <c r="F83" s="570"/>
      <c r="G83" s="575"/>
      <c r="H83" s="574"/>
      <c r="I83" s="572"/>
      <c r="J83" s="574"/>
      <c r="K83" s="572"/>
      <c r="L83" s="572"/>
      <c r="M83" s="572"/>
      <c r="N83" s="578" t="str">
        <f t="shared" si="4"/>
        <v/>
      </c>
    </row>
    <row r="84" spans="1:14" ht="19.5" customHeight="1">
      <c r="A84" s="560" t="str">
        <f t="shared" si="5"/>
        <v/>
      </c>
      <c r="B84" s="567"/>
      <c r="C84" s="568"/>
      <c r="D84" s="576"/>
      <c r="E84" s="573"/>
      <c r="F84" s="570"/>
      <c r="G84" s="575"/>
      <c r="H84" s="574"/>
      <c r="I84" s="572"/>
      <c r="J84" s="574"/>
      <c r="K84" s="572"/>
      <c r="L84" s="572"/>
      <c r="M84" s="572"/>
      <c r="N84" s="578" t="str">
        <f t="shared" si="4"/>
        <v/>
      </c>
    </row>
    <row r="85" spans="1:14" ht="19.5" customHeight="1">
      <c r="A85" s="560" t="str">
        <f t="shared" si="5"/>
        <v/>
      </c>
      <c r="B85" s="567"/>
      <c r="C85" s="568"/>
      <c r="D85" s="576"/>
      <c r="E85" s="573"/>
      <c r="F85" s="570"/>
      <c r="G85" s="575"/>
      <c r="H85" s="574"/>
      <c r="I85" s="572"/>
      <c r="J85" s="574"/>
      <c r="K85" s="572"/>
      <c r="L85" s="572"/>
      <c r="M85" s="572"/>
      <c r="N85" s="578" t="str">
        <f t="shared" si="4"/>
        <v/>
      </c>
    </row>
    <row r="86" spans="1:14" ht="19.5" customHeight="1">
      <c r="A86" s="560" t="str">
        <f t="shared" si="5"/>
        <v/>
      </c>
      <c r="B86" s="567"/>
      <c r="C86" s="568"/>
      <c r="D86" s="576"/>
      <c r="E86" s="573"/>
      <c r="F86" s="570"/>
      <c r="G86" s="575"/>
      <c r="H86" s="574"/>
      <c r="I86" s="572"/>
      <c r="J86" s="574"/>
      <c r="K86" s="572"/>
      <c r="L86" s="572"/>
      <c r="M86" s="572"/>
      <c r="N86" s="578" t="str">
        <f t="shared" si="4"/>
        <v/>
      </c>
    </row>
    <row r="87" spans="1:14" ht="19.5" customHeight="1">
      <c r="A87" s="560" t="str">
        <f t="shared" si="5"/>
        <v/>
      </c>
      <c r="B87" s="567"/>
      <c r="C87" s="568"/>
      <c r="D87" s="576"/>
      <c r="E87" s="573"/>
      <c r="F87" s="570"/>
      <c r="G87" s="575"/>
      <c r="H87" s="574"/>
      <c r="I87" s="572"/>
      <c r="J87" s="574"/>
      <c r="K87" s="572"/>
      <c r="L87" s="572"/>
      <c r="M87" s="572"/>
      <c r="N87" s="578" t="str">
        <f t="shared" si="4"/>
        <v/>
      </c>
    </row>
    <row r="88" spans="1:14" ht="19.5" customHeight="1">
      <c r="A88" s="560" t="str">
        <f t="shared" si="5"/>
        <v/>
      </c>
      <c r="B88" s="567"/>
      <c r="C88" s="568"/>
      <c r="D88" s="576"/>
      <c r="E88" s="573"/>
      <c r="F88" s="570"/>
      <c r="G88" s="575"/>
      <c r="H88" s="574"/>
      <c r="I88" s="572"/>
      <c r="J88" s="574"/>
      <c r="K88" s="572"/>
      <c r="L88" s="572"/>
      <c r="M88" s="572"/>
      <c r="N88" s="578" t="str">
        <f t="shared" si="4"/>
        <v/>
      </c>
    </row>
    <row r="89" spans="1:14" ht="19.5" customHeight="1">
      <c r="A89" s="560" t="str">
        <f t="shared" si="5"/>
        <v/>
      </c>
      <c r="B89" s="567"/>
      <c r="C89" s="568"/>
      <c r="D89" s="576"/>
      <c r="E89" s="573"/>
      <c r="F89" s="570"/>
      <c r="G89" s="575"/>
      <c r="H89" s="574"/>
      <c r="I89" s="572"/>
      <c r="J89" s="574"/>
      <c r="K89" s="572"/>
      <c r="L89" s="572"/>
      <c r="M89" s="572"/>
      <c r="N89" s="578" t="str">
        <f t="shared" si="4"/>
        <v/>
      </c>
    </row>
    <row r="90" spans="1:14" ht="19.5" customHeight="1">
      <c r="A90" s="560" t="str">
        <f t="shared" si="5"/>
        <v/>
      </c>
      <c r="B90" s="567"/>
      <c r="C90" s="568"/>
      <c r="D90" s="576"/>
      <c r="E90" s="573"/>
      <c r="F90" s="570"/>
      <c r="G90" s="575"/>
      <c r="H90" s="574"/>
      <c r="I90" s="572"/>
      <c r="J90" s="574"/>
      <c r="K90" s="572"/>
      <c r="L90" s="572"/>
      <c r="M90" s="572"/>
      <c r="N90" s="578" t="str">
        <f t="shared" si="4"/>
        <v/>
      </c>
    </row>
    <row r="91" spans="1:14" ht="19.5" customHeight="1">
      <c r="A91" s="560" t="str">
        <f t="shared" si="5"/>
        <v/>
      </c>
      <c r="B91" s="567"/>
      <c r="C91" s="568"/>
      <c r="D91" s="576"/>
      <c r="E91" s="573"/>
      <c r="F91" s="570"/>
      <c r="G91" s="575"/>
      <c r="H91" s="574"/>
      <c r="I91" s="572"/>
      <c r="J91" s="574"/>
      <c r="K91" s="572"/>
      <c r="L91" s="572"/>
      <c r="M91" s="572"/>
      <c r="N91" s="578" t="str">
        <f t="shared" si="4"/>
        <v/>
      </c>
    </row>
    <row r="92" spans="1:14" ht="19.5" customHeight="1">
      <c r="A92" s="560" t="str">
        <f t="shared" si="5"/>
        <v/>
      </c>
      <c r="B92" s="567"/>
      <c r="C92" s="568"/>
      <c r="D92" s="576"/>
      <c r="E92" s="573"/>
      <c r="F92" s="570"/>
      <c r="G92" s="575"/>
      <c r="H92" s="574"/>
      <c r="I92" s="572"/>
      <c r="J92" s="574"/>
      <c r="K92" s="572"/>
      <c r="L92" s="572"/>
      <c r="M92" s="572"/>
      <c r="N92" s="578" t="str">
        <f t="shared" si="4"/>
        <v/>
      </c>
    </row>
    <row r="93" spans="1:14" ht="19.5" customHeight="1">
      <c r="A93" s="560" t="str">
        <f t="shared" si="5"/>
        <v/>
      </c>
      <c r="B93" s="567"/>
      <c r="C93" s="568"/>
      <c r="D93" s="576"/>
      <c r="E93" s="573"/>
      <c r="F93" s="570"/>
      <c r="G93" s="575"/>
      <c r="H93" s="574"/>
      <c r="I93" s="572"/>
      <c r="J93" s="574"/>
      <c r="K93" s="572"/>
      <c r="L93" s="572"/>
      <c r="M93" s="572"/>
      <c r="N93" s="578" t="str">
        <f t="shared" si="4"/>
        <v/>
      </c>
    </row>
    <row r="94" spans="1:14" ht="19.5" customHeight="1">
      <c r="A94" s="560" t="str">
        <f t="shared" si="5"/>
        <v/>
      </c>
      <c r="B94" s="567"/>
      <c r="C94" s="568"/>
      <c r="D94" s="576"/>
      <c r="E94" s="573"/>
      <c r="F94" s="570"/>
      <c r="G94" s="575"/>
      <c r="H94" s="574"/>
      <c r="I94" s="572"/>
      <c r="J94" s="574"/>
      <c r="K94" s="572"/>
      <c r="L94" s="572"/>
      <c r="M94" s="572"/>
      <c r="N94" s="578" t="str">
        <f t="shared" si="4"/>
        <v/>
      </c>
    </row>
    <row r="95" spans="1:14" ht="19.5" customHeight="1">
      <c r="A95" s="560" t="str">
        <f t="shared" si="5"/>
        <v/>
      </c>
      <c r="B95" s="567"/>
      <c r="C95" s="568"/>
      <c r="D95" s="576"/>
      <c r="E95" s="573"/>
      <c r="F95" s="570"/>
      <c r="G95" s="575"/>
      <c r="H95" s="574"/>
      <c r="I95" s="572"/>
      <c r="J95" s="574"/>
      <c r="K95" s="572"/>
      <c r="L95" s="572"/>
      <c r="M95" s="572"/>
      <c r="N95" s="578" t="str">
        <f t="shared" si="4"/>
        <v/>
      </c>
    </row>
    <row r="96" spans="1:14" ht="19.5" customHeight="1">
      <c r="A96" s="560" t="str">
        <f t="shared" si="5"/>
        <v/>
      </c>
      <c r="B96" s="567"/>
      <c r="C96" s="568"/>
      <c r="D96" s="576"/>
      <c r="E96" s="573"/>
      <c r="F96" s="570"/>
      <c r="G96" s="575"/>
      <c r="H96" s="574"/>
      <c r="I96" s="572"/>
      <c r="J96" s="574"/>
      <c r="K96" s="572"/>
      <c r="L96" s="572"/>
      <c r="M96" s="572"/>
      <c r="N96" s="578" t="str">
        <f t="shared" si="4"/>
        <v/>
      </c>
    </row>
    <row r="97" spans="1:14" ht="19.5" customHeight="1">
      <c r="A97" s="560" t="str">
        <f t="shared" si="5"/>
        <v/>
      </c>
      <c r="B97" s="567"/>
      <c r="C97" s="568"/>
      <c r="D97" s="576"/>
      <c r="E97" s="573"/>
      <c r="F97" s="570"/>
      <c r="G97" s="575"/>
      <c r="H97" s="574"/>
      <c r="I97" s="572"/>
      <c r="J97" s="574"/>
      <c r="K97" s="572"/>
      <c r="L97" s="572"/>
      <c r="M97" s="572"/>
      <c r="N97" s="578" t="str">
        <f t="shared" si="4"/>
        <v/>
      </c>
    </row>
    <row r="98" spans="1:14" ht="19.5" customHeight="1">
      <c r="A98" s="560" t="str">
        <f t="shared" si="5"/>
        <v/>
      </c>
      <c r="B98" s="567"/>
      <c r="C98" s="568"/>
      <c r="D98" s="576"/>
      <c r="E98" s="573"/>
      <c r="F98" s="570"/>
      <c r="G98" s="575"/>
      <c r="H98" s="574"/>
      <c r="I98" s="572"/>
      <c r="J98" s="574"/>
      <c r="K98" s="572"/>
      <c r="L98" s="572"/>
      <c r="M98" s="572"/>
      <c r="N98" s="578" t="str">
        <f t="shared" si="4"/>
        <v/>
      </c>
    </row>
    <row r="99" spans="1:14" ht="19.5" customHeight="1">
      <c r="A99" s="560" t="str">
        <f t="shared" si="5"/>
        <v/>
      </c>
      <c r="B99" s="567"/>
      <c r="C99" s="568"/>
      <c r="D99" s="576"/>
      <c r="E99" s="573"/>
      <c r="F99" s="570"/>
      <c r="G99" s="575"/>
      <c r="H99" s="574"/>
      <c r="I99" s="572"/>
      <c r="J99" s="574"/>
      <c r="K99" s="572"/>
      <c r="L99" s="572"/>
      <c r="M99" s="572"/>
      <c r="N99" s="578" t="str">
        <f t="shared" si="4"/>
        <v/>
      </c>
    </row>
    <row r="100" spans="1:14" ht="19.5" customHeight="1">
      <c r="A100" s="560" t="str">
        <f t="shared" si="5"/>
        <v/>
      </c>
      <c r="B100" s="567"/>
      <c r="C100" s="568"/>
      <c r="D100" s="576"/>
      <c r="E100" s="573"/>
      <c r="F100" s="570"/>
      <c r="G100" s="575"/>
      <c r="H100" s="574"/>
      <c r="I100" s="572"/>
      <c r="J100" s="574"/>
      <c r="K100" s="572"/>
      <c r="L100" s="572"/>
      <c r="M100" s="572"/>
      <c r="N100" s="578" t="str">
        <f t="shared" si="4"/>
        <v/>
      </c>
    </row>
    <row r="101" spans="1:14" ht="19.5" customHeight="1">
      <c r="A101" s="560" t="str">
        <f t="shared" si="5"/>
        <v/>
      </c>
      <c r="B101" s="567"/>
      <c r="C101" s="568"/>
      <c r="D101" s="576"/>
      <c r="E101" s="573"/>
      <c r="F101" s="570"/>
      <c r="G101" s="575"/>
      <c r="H101" s="574"/>
      <c r="I101" s="572"/>
      <c r="J101" s="574"/>
      <c r="K101" s="572"/>
      <c r="L101" s="572"/>
      <c r="M101" s="572"/>
      <c r="N101" s="578" t="str">
        <f t="shared" si="4"/>
        <v/>
      </c>
    </row>
    <row r="102" spans="1:14" ht="19.5" customHeight="1">
      <c r="A102" s="560" t="str">
        <f t="shared" si="5"/>
        <v/>
      </c>
      <c r="B102" s="567"/>
      <c r="C102" s="568"/>
      <c r="D102" s="576"/>
      <c r="E102" s="573"/>
      <c r="F102" s="570"/>
      <c r="G102" s="575"/>
      <c r="H102" s="574"/>
      <c r="I102" s="572"/>
      <c r="J102" s="574"/>
      <c r="K102" s="572"/>
      <c r="L102" s="572"/>
      <c r="M102" s="572"/>
      <c r="N102" s="578" t="str">
        <f t="shared" si="4"/>
        <v/>
      </c>
    </row>
    <row r="103" spans="1:14" ht="19.5" customHeight="1">
      <c r="A103" s="560" t="str">
        <f t="shared" si="5"/>
        <v/>
      </c>
      <c r="B103" s="567"/>
      <c r="C103" s="568"/>
      <c r="D103" s="576"/>
      <c r="E103" s="573"/>
      <c r="F103" s="570"/>
      <c r="G103" s="575"/>
      <c r="H103" s="574"/>
      <c r="I103" s="572"/>
      <c r="J103" s="574"/>
      <c r="K103" s="572"/>
      <c r="L103" s="572"/>
      <c r="M103" s="572"/>
      <c r="N103" s="578" t="str">
        <f t="shared" si="4"/>
        <v/>
      </c>
    </row>
    <row r="104" spans="1:14" ht="19.5" customHeight="1">
      <c r="A104" s="560" t="str">
        <f t="shared" si="5"/>
        <v/>
      </c>
      <c r="B104" s="567"/>
      <c r="C104" s="568"/>
      <c r="D104" s="576"/>
      <c r="E104" s="573"/>
      <c r="F104" s="570"/>
      <c r="G104" s="575"/>
      <c r="H104" s="574"/>
      <c r="I104" s="572"/>
      <c r="J104" s="574"/>
      <c r="K104" s="572"/>
      <c r="L104" s="572"/>
      <c r="M104" s="572"/>
      <c r="N104" s="578" t="str">
        <f t="shared" si="4"/>
        <v/>
      </c>
    </row>
    <row r="105" spans="1:14" ht="19.5" customHeight="1">
      <c r="A105" s="560" t="str">
        <f t="shared" si="5"/>
        <v/>
      </c>
      <c r="B105" s="567"/>
      <c r="C105" s="568"/>
      <c r="D105" s="576"/>
      <c r="E105" s="573"/>
      <c r="F105" s="570"/>
      <c r="G105" s="575"/>
      <c r="H105" s="574"/>
      <c r="I105" s="572"/>
      <c r="J105" s="574"/>
      <c r="K105" s="572"/>
      <c r="L105" s="572"/>
      <c r="M105" s="572"/>
      <c r="N105" s="578" t="str">
        <f t="shared" si="4"/>
        <v/>
      </c>
    </row>
    <row r="106" spans="1:14" ht="19.5" customHeight="1">
      <c r="A106" s="560" t="str">
        <f t="shared" si="5"/>
        <v/>
      </c>
      <c r="B106" s="567"/>
      <c r="C106" s="568"/>
      <c r="D106" s="576"/>
      <c r="E106" s="573"/>
      <c r="F106" s="570"/>
      <c r="G106" s="575"/>
      <c r="H106" s="574"/>
      <c r="I106" s="572"/>
      <c r="J106" s="574"/>
      <c r="K106" s="572"/>
      <c r="L106" s="572"/>
      <c r="M106" s="572"/>
      <c r="N106" s="578" t="str">
        <f t="shared" si="4"/>
        <v/>
      </c>
    </row>
    <row r="107" spans="1:14" ht="19.5" customHeight="1">
      <c r="A107" s="560" t="str">
        <f t="shared" si="5"/>
        <v/>
      </c>
      <c r="B107" s="567"/>
      <c r="C107" s="568"/>
      <c r="D107" s="576"/>
      <c r="E107" s="573"/>
      <c r="F107" s="570"/>
      <c r="G107" s="575"/>
      <c r="H107" s="574"/>
      <c r="I107" s="572"/>
      <c r="J107" s="574"/>
      <c r="K107" s="572"/>
      <c r="L107" s="572"/>
      <c r="M107" s="572"/>
      <c r="N107" s="578" t="str">
        <f t="shared" si="4"/>
        <v/>
      </c>
    </row>
    <row r="108" spans="1:14" ht="19.5" customHeight="1">
      <c r="A108" s="560" t="str">
        <f t="shared" si="5"/>
        <v/>
      </c>
      <c r="B108" s="567"/>
      <c r="C108" s="568"/>
      <c r="D108" s="576"/>
      <c r="E108" s="573"/>
      <c r="F108" s="570"/>
      <c r="G108" s="575"/>
      <c r="H108" s="574"/>
      <c r="I108" s="572"/>
      <c r="J108" s="574"/>
      <c r="K108" s="572"/>
      <c r="L108" s="572"/>
      <c r="M108" s="572"/>
      <c r="N108" s="578" t="str">
        <f t="shared" si="4"/>
        <v/>
      </c>
    </row>
    <row r="109" spans="1:14" ht="19.5" customHeight="1">
      <c r="A109" s="560" t="str">
        <f t="shared" si="5"/>
        <v/>
      </c>
      <c r="B109" s="567"/>
      <c r="C109" s="568"/>
      <c r="D109" s="576"/>
      <c r="E109" s="573"/>
      <c r="F109" s="570"/>
      <c r="G109" s="575"/>
      <c r="H109" s="574"/>
      <c r="I109" s="572"/>
      <c r="J109" s="574"/>
      <c r="K109" s="572"/>
      <c r="L109" s="572"/>
      <c r="M109" s="572"/>
      <c r="N109" s="578" t="str">
        <f t="shared" si="4"/>
        <v/>
      </c>
    </row>
    <row r="110" spans="1:14" ht="19.5" customHeight="1">
      <c r="A110" s="560" t="str">
        <f t="shared" si="5"/>
        <v/>
      </c>
      <c r="B110" s="567"/>
      <c r="C110" s="568"/>
      <c r="D110" s="576"/>
      <c r="E110" s="573"/>
      <c r="F110" s="570"/>
      <c r="G110" s="575"/>
      <c r="H110" s="574"/>
      <c r="I110" s="572"/>
      <c r="J110" s="574"/>
      <c r="K110" s="572"/>
      <c r="L110" s="572"/>
      <c r="M110" s="572"/>
      <c r="N110" s="578" t="str">
        <f t="shared" ref="N110:N173" si="6">IF(A110&lt;&gt;"",HYPERLINK("#"&amp;A110&amp;"!A1","跳转"),"")</f>
        <v/>
      </c>
    </row>
    <row r="111" spans="1:14" ht="19.5" customHeight="1">
      <c r="A111" s="560" t="str">
        <f t="shared" si="5"/>
        <v/>
      </c>
      <c r="B111" s="567"/>
      <c r="C111" s="568"/>
      <c r="D111" s="576"/>
      <c r="E111" s="573"/>
      <c r="F111" s="570"/>
      <c r="G111" s="575"/>
      <c r="H111" s="574"/>
      <c r="I111" s="572"/>
      <c r="J111" s="574"/>
      <c r="K111" s="572"/>
      <c r="L111" s="572"/>
      <c r="M111" s="572"/>
      <c r="N111" s="578" t="str">
        <f t="shared" si="6"/>
        <v/>
      </c>
    </row>
    <row r="112" spans="1:14" ht="19.5" customHeight="1">
      <c r="A112" s="560" t="str">
        <f t="shared" si="5"/>
        <v/>
      </c>
      <c r="B112" s="567"/>
      <c r="C112" s="568"/>
      <c r="D112" s="576"/>
      <c r="E112" s="573"/>
      <c r="F112" s="570"/>
      <c r="G112" s="575"/>
      <c r="H112" s="574"/>
      <c r="I112" s="572"/>
      <c r="J112" s="574"/>
      <c r="K112" s="572"/>
      <c r="L112" s="572"/>
      <c r="M112" s="572"/>
      <c r="N112" s="578" t="str">
        <f t="shared" si="6"/>
        <v/>
      </c>
    </row>
    <row r="113" spans="1:14" ht="19.5" customHeight="1">
      <c r="A113" s="560" t="str">
        <f t="shared" si="5"/>
        <v/>
      </c>
      <c r="B113" s="567"/>
      <c r="C113" s="568"/>
      <c r="D113" s="576"/>
      <c r="E113" s="573"/>
      <c r="F113" s="570"/>
      <c r="G113" s="575"/>
      <c r="H113" s="574"/>
      <c r="I113" s="572"/>
      <c r="J113" s="574"/>
      <c r="K113" s="572"/>
      <c r="L113" s="572"/>
      <c r="M113" s="572"/>
      <c r="N113" s="578" t="str">
        <f t="shared" si="6"/>
        <v/>
      </c>
    </row>
    <row r="114" spans="1:14" ht="19.5" customHeight="1">
      <c r="A114" s="560" t="str">
        <f t="shared" si="5"/>
        <v/>
      </c>
      <c r="B114" s="567"/>
      <c r="C114" s="568"/>
      <c r="D114" s="576"/>
      <c r="E114" s="573"/>
      <c r="F114" s="570"/>
      <c r="G114" s="575"/>
      <c r="H114" s="574"/>
      <c r="I114" s="572"/>
      <c r="J114" s="574"/>
      <c r="K114" s="572"/>
      <c r="L114" s="572"/>
      <c r="M114" s="572"/>
      <c r="N114" s="578" t="str">
        <f t="shared" si="6"/>
        <v/>
      </c>
    </row>
    <row r="115" spans="1:14" ht="19.5" customHeight="1">
      <c r="A115" s="560" t="str">
        <f t="shared" si="5"/>
        <v/>
      </c>
      <c r="B115" s="567"/>
      <c r="C115" s="568"/>
      <c r="D115" s="576"/>
      <c r="E115" s="573"/>
      <c r="F115" s="570"/>
      <c r="G115" s="575"/>
      <c r="H115" s="574"/>
      <c r="I115" s="572"/>
      <c r="J115" s="574"/>
      <c r="K115" s="572"/>
      <c r="L115" s="572"/>
      <c r="M115" s="572"/>
      <c r="N115" s="578" t="str">
        <f t="shared" si="6"/>
        <v/>
      </c>
    </row>
    <row r="116" spans="1:14" ht="19.5" customHeight="1">
      <c r="A116" s="560" t="str">
        <f t="shared" si="5"/>
        <v/>
      </c>
      <c r="B116" s="567"/>
      <c r="C116" s="568"/>
      <c r="D116" s="576"/>
      <c r="E116" s="573"/>
      <c r="F116" s="570"/>
      <c r="G116" s="575"/>
      <c r="H116" s="574"/>
      <c r="I116" s="572"/>
      <c r="J116" s="574"/>
      <c r="K116" s="572"/>
      <c r="L116" s="572"/>
      <c r="M116" s="572"/>
      <c r="N116" s="578" t="str">
        <f t="shared" si="6"/>
        <v/>
      </c>
    </row>
    <row r="117" spans="1:14" ht="19.5" customHeight="1">
      <c r="A117" s="560" t="str">
        <f t="shared" si="5"/>
        <v/>
      </c>
      <c r="B117" s="567"/>
      <c r="C117" s="568"/>
      <c r="D117" s="576"/>
      <c r="E117" s="573"/>
      <c r="F117" s="570"/>
      <c r="G117" s="575"/>
      <c r="H117" s="574"/>
      <c r="I117" s="572"/>
      <c r="J117" s="574"/>
      <c r="K117" s="572"/>
      <c r="L117" s="572"/>
      <c r="M117" s="572"/>
      <c r="N117" s="578" t="str">
        <f t="shared" si="6"/>
        <v/>
      </c>
    </row>
    <row r="118" spans="1:14" ht="19.5" customHeight="1">
      <c r="A118" s="560" t="str">
        <f t="shared" ref="A118:A181" si="7">IF(C118&lt;&gt;"",ROW(C118)-1,"")</f>
        <v/>
      </c>
      <c r="B118" s="567"/>
      <c r="C118" s="568"/>
      <c r="D118" s="576"/>
      <c r="E118" s="573"/>
      <c r="F118" s="570"/>
      <c r="G118" s="575"/>
      <c r="H118" s="574"/>
      <c r="I118" s="572"/>
      <c r="J118" s="574"/>
      <c r="K118" s="572"/>
      <c r="L118" s="572"/>
      <c r="M118" s="572"/>
      <c r="N118" s="578" t="str">
        <f t="shared" si="6"/>
        <v/>
      </c>
    </row>
    <row r="119" spans="1:14" ht="19.5" customHeight="1">
      <c r="A119" s="560" t="str">
        <f t="shared" si="7"/>
        <v/>
      </c>
      <c r="B119" s="567"/>
      <c r="C119" s="568"/>
      <c r="D119" s="576"/>
      <c r="E119" s="573"/>
      <c r="F119" s="570"/>
      <c r="G119" s="575"/>
      <c r="H119" s="574"/>
      <c r="I119" s="572"/>
      <c r="J119" s="574"/>
      <c r="K119" s="572"/>
      <c r="L119" s="572"/>
      <c r="M119" s="572"/>
      <c r="N119" s="578" t="str">
        <f t="shared" si="6"/>
        <v/>
      </c>
    </row>
    <row r="120" spans="1:14" ht="19.5" customHeight="1">
      <c r="A120" s="560" t="str">
        <f t="shared" si="7"/>
        <v/>
      </c>
      <c r="B120" s="567"/>
      <c r="C120" s="568"/>
      <c r="D120" s="576"/>
      <c r="E120" s="573"/>
      <c r="F120" s="570"/>
      <c r="G120" s="575"/>
      <c r="H120" s="574"/>
      <c r="I120" s="572"/>
      <c r="J120" s="574"/>
      <c r="K120" s="572"/>
      <c r="L120" s="572"/>
      <c r="M120" s="572"/>
      <c r="N120" s="578" t="str">
        <f t="shared" si="6"/>
        <v/>
      </c>
    </row>
    <row r="121" spans="1:14" ht="19.5" customHeight="1">
      <c r="A121" s="560" t="str">
        <f t="shared" si="7"/>
        <v/>
      </c>
      <c r="B121" s="567"/>
      <c r="C121" s="568"/>
      <c r="D121" s="576"/>
      <c r="E121" s="573"/>
      <c r="F121" s="570"/>
      <c r="G121" s="575"/>
      <c r="H121" s="574"/>
      <c r="I121" s="572"/>
      <c r="J121" s="574"/>
      <c r="K121" s="572"/>
      <c r="L121" s="572"/>
      <c r="M121" s="572"/>
      <c r="N121" s="578" t="str">
        <f t="shared" si="6"/>
        <v/>
      </c>
    </row>
    <row r="122" spans="1:14" ht="19.5" customHeight="1">
      <c r="A122" s="560" t="str">
        <f t="shared" si="7"/>
        <v/>
      </c>
      <c r="B122" s="567"/>
      <c r="C122" s="568"/>
      <c r="D122" s="576"/>
      <c r="E122" s="573"/>
      <c r="F122" s="570"/>
      <c r="G122" s="575"/>
      <c r="H122" s="574"/>
      <c r="I122" s="572"/>
      <c r="J122" s="574"/>
      <c r="K122" s="572"/>
      <c r="L122" s="572"/>
      <c r="M122" s="572"/>
      <c r="N122" s="578" t="str">
        <f t="shared" si="6"/>
        <v/>
      </c>
    </row>
    <row r="123" spans="1:14" ht="19.5" customHeight="1">
      <c r="A123" s="560" t="str">
        <f t="shared" si="7"/>
        <v/>
      </c>
      <c r="B123" s="567"/>
      <c r="C123" s="568"/>
      <c r="D123" s="576"/>
      <c r="E123" s="573"/>
      <c r="F123" s="570"/>
      <c r="G123" s="575"/>
      <c r="H123" s="574"/>
      <c r="I123" s="572"/>
      <c r="J123" s="574"/>
      <c r="K123" s="572"/>
      <c r="L123" s="572"/>
      <c r="M123" s="572"/>
      <c r="N123" s="578" t="str">
        <f t="shared" si="6"/>
        <v/>
      </c>
    </row>
    <row r="124" spans="1:14" ht="19.5" customHeight="1">
      <c r="A124" s="560" t="str">
        <f t="shared" si="7"/>
        <v/>
      </c>
      <c r="B124" s="567"/>
      <c r="C124" s="568"/>
      <c r="D124" s="576"/>
      <c r="E124" s="573"/>
      <c r="F124" s="570"/>
      <c r="G124" s="575"/>
      <c r="H124" s="574"/>
      <c r="I124" s="572"/>
      <c r="J124" s="574"/>
      <c r="K124" s="572"/>
      <c r="L124" s="572"/>
      <c r="M124" s="572"/>
      <c r="N124" s="578" t="str">
        <f t="shared" si="6"/>
        <v/>
      </c>
    </row>
    <row r="125" spans="1:14" ht="19.5" customHeight="1">
      <c r="A125" s="560" t="str">
        <f t="shared" si="7"/>
        <v/>
      </c>
      <c r="B125" s="567"/>
      <c r="C125" s="568"/>
      <c r="D125" s="576"/>
      <c r="E125" s="573"/>
      <c r="F125" s="570"/>
      <c r="G125" s="575"/>
      <c r="H125" s="574"/>
      <c r="I125" s="572"/>
      <c r="J125" s="574"/>
      <c r="K125" s="572"/>
      <c r="L125" s="572"/>
      <c r="M125" s="572"/>
      <c r="N125" s="578" t="str">
        <f t="shared" si="6"/>
        <v/>
      </c>
    </row>
    <row r="126" spans="1:14" ht="19.5" customHeight="1">
      <c r="A126" s="560" t="str">
        <f t="shared" si="7"/>
        <v/>
      </c>
      <c r="B126" s="567"/>
      <c r="C126" s="568"/>
      <c r="D126" s="576"/>
      <c r="E126" s="573"/>
      <c r="F126" s="570"/>
      <c r="G126" s="575"/>
      <c r="H126" s="574"/>
      <c r="I126" s="572"/>
      <c r="J126" s="574"/>
      <c r="K126" s="572"/>
      <c r="L126" s="572"/>
      <c r="M126" s="572"/>
      <c r="N126" s="578" t="str">
        <f t="shared" si="6"/>
        <v/>
      </c>
    </row>
    <row r="127" spans="1:14" ht="19.5" customHeight="1">
      <c r="A127" s="560" t="str">
        <f t="shared" si="7"/>
        <v/>
      </c>
      <c r="B127" s="567"/>
      <c r="C127" s="568"/>
      <c r="D127" s="576"/>
      <c r="E127" s="573"/>
      <c r="F127" s="570"/>
      <c r="G127" s="575"/>
      <c r="H127" s="574"/>
      <c r="I127" s="572"/>
      <c r="J127" s="574"/>
      <c r="K127" s="572"/>
      <c r="L127" s="572"/>
      <c r="M127" s="572"/>
      <c r="N127" s="578" t="str">
        <f t="shared" si="6"/>
        <v/>
      </c>
    </row>
    <row r="128" spans="1:14" ht="19.5" customHeight="1">
      <c r="A128" s="560" t="str">
        <f t="shared" si="7"/>
        <v/>
      </c>
      <c r="B128" s="567"/>
      <c r="C128" s="568"/>
      <c r="D128" s="576"/>
      <c r="E128" s="573"/>
      <c r="F128" s="570"/>
      <c r="G128" s="575"/>
      <c r="H128" s="574"/>
      <c r="I128" s="572"/>
      <c r="J128" s="574"/>
      <c r="K128" s="572"/>
      <c r="L128" s="572"/>
      <c r="M128" s="572"/>
      <c r="N128" s="578" t="str">
        <f t="shared" si="6"/>
        <v/>
      </c>
    </row>
    <row r="129" spans="1:14" ht="19.5" customHeight="1">
      <c r="A129" s="560" t="str">
        <f t="shared" si="7"/>
        <v/>
      </c>
      <c r="B129" s="567"/>
      <c r="C129" s="568"/>
      <c r="D129" s="576"/>
      <c r="E129" s="573"/>
      <c r="F129" s="570"/>
      <c r="G129" s="575"/>
      <c r="H129" s="574"/>
      <c r="I129" s="572"/>
      <c r="J129" s="574"/>
      <c r="K129" s="572"/>
      <c r="L129" s="572"/>
      <c r="M129" s="572"/>
      <c r="N129" s="578" t="str">
        <f t="shared" si="6"/>
        <v/>
      </c>
    </row>
    <row r="130" spans="1:14" ht="19.5" customHeight="1">
      <c r="A130" s="560" t="str">
        <f t="shared" si="7"/>
        <v/>
      </c>
      <c r="B130" s="567"/>
      <c r="C130" s="568"/>
      <c r="D130" s="576"/>
      <c r="E130" s="573"/>
      <c r="F130" s="570"/>
      <c r="G130" s="575"/>
      <c r="H130" s="574"/>
      <c r="I130" s="572"/>
      <c r="J130" s="574"/>
      <c r="K130" s="572"/>
      <c r="L130" s="572"/>
      <c r="M130" s="572"/>
      <c r="N130" s="578" t="str">
        <f t="shared" si="6"/>
        <v/>
      </c>
    </row>
    <row r="131" spans="1:14" ht="19.5" customHeight="1">
      <c r="A131" s="560" t="str">
        <f t="shared" si="7"/>
        <v/>
      </c>
      <c r="B131" s="567"/>
      <c r="C131" s="568"/>
      <c r="D131" s="576"/>
      <c r="E131" s="573"/>
      <c r="F131" s="570"/>
      <c r="G131" s="575"/>
      <c r="H131" s="574"/>
      <c r="I131" s="572"/>
      <c r="J131" s="574"/>
      <c r="K131" s="572"/>
      <c r="L131" s="572"/>
      <c r="M131" s="572"/>
      <c r="N131" s="578" t="str">
        <f t="shared" si="6"/>
        <v/>
      </c>
    </row>
    <row r="132" spans="1:14" ht="19.5" customHeight="1">
      <c r="A132" s="560" t="str">
        <f t="shared" si="7"/>
        <v/>
      </c>
      <c r="B132" s="567"/>
      <c r="C132" s="568"/>
      <c r="D132" s="576"/>
      <c r="E132" s="573"/>
      <c r="F132" s="570"/>
      <c r="G132" s="575"/>
      <c r="H132" s="574"/>
      <c r="I132" s="572"/>
      <c r="J132" s="574"/>
      <c r="K132" s="572"/>
      <c r="L132" s="572"/>
      <c r="M132" s="572"/>
      <c r="N132" s="578" t="str">
        <f t="shared" si="6"/>
        <v/>
      </c>
    </row>
    <row r="133" spans="1:14" ht="19.5" customHeight="1">
      <c r="A133" s="560" t="str">
        <f t="shared" si="7"/>
        <v/>
      </c>
      <c r="B133" s="567"/>
      <c r="C133" s="568"/>
      <c r="D133" s="576"/>
      <c r="E133" s="573"/>
      <c r="F133" s="570"/>
      <c r="G133" s="575"/>
      <c r="H133" s="574"/>
      <c r="I133" s="572"/>
      <c r="J133" s="574"/>
      <c r="K133" s="572"/>
      <c r="L133" s="572"/>
      <c r="M133" s="572"/>
      <c r="N133" s="578" t="str">
        <f t="shared" si="6"/>
        <v/>
      </c>
    </row>
    <row r="134" spans="1:14" ht="19.5" customHeight="1">
      <c r="A134" s="560" t="str">
        <f t="shared" si="7"/>
        <v/>
      </c>
      <c r="B134" s="567"/>
      <c r="C134" s="568"/>
      <c r="D134" s="576"/>
      <c r="E134" s="573"/>
      <c r="F134" s="570"/>
      <c r="G134" s="575"/>
      <c r="H134" s="574"/>
      <c r="I134" s="572"/>
      <c r="J134" s="574"/>
      <c r="K134" s="572"/>
      <c r="L134" s="572"/>
      <c r="M134" s="572"/>
      <c r="N134" s="578" t="str">
        <f t="shared" si="6"/>
        <v/>
      </c>
    </row>
    <row r="135" spans="1:14" ht="19.5" customHeight="1">
      <c r="A135" s="560" t="str">
        <f t="shared" si="7"/>
        <v/>
      </c>
      <c r="B135" s="567"/>
      <c r="C135" s="568"/>
      <c r="D135" s="576"/>
      <c r="E135" s="573"/>
      <c r="F135" s="570"/>
      <c r="G135" s="575"/>
      <c r="H135" s="574"/>
      <c r="I135" s="572"/>
      <c r="J135" s="574"/>
      <c r="K135" s="572"/>
      <c r="L135" s="572"/>
      <c r="M135" s="572"/>
      <c r="N135" s="578" t="str">
        <f t="shared" si="6"/>
        <v/>
      </c>
    </row>
    <row r="136" spans="1:14" ht="19.5" customHeight="1">
      <c r="A136" s="560" t="str">
        <f t="shared" si="7"/>
        <v/>
      </c>
      <c r="B136" s="567"/>
      <c r="C136" s="568"/>
      <c r="D136" s="576"/>
      <c r="E136" s="573"/>
      <c r="F136" s="570"/>
      <c r="G136" s="575"/>
      <c r="H136" s="574"/>
      <c r="I136" s="572"/>
      <c r="J136" s="574"/>
      <c r="K136" s="572"/>
      <c r="L136" s="572"/>
      <c r="M136" s="572"/>
      <c r="N136" s="578" t="str">
        <f t="shared" si="6"/>
        <v/>
      </c>
    </row>
    <row r="137" spans="1:14" ht="19.5" customHeight="1">
      <c r="A137" s="560" t="str">
        <f t="shared" si="7"/>
        <v/>
      </c>
      <c r="B137" s="567"/>
      <c r="C137" s="568"/>
      <c r="D137" s="576"/>
      <c r="E137" s="573"/>
      <c r="F137" s="570"/>
      <c r="G137" s="575"/>
      <c r="H137" s="574"/>
      <c r="I137" s="572"/>
      <c r="J137" s="574"/>
      <c r="K137" s="572"/>
      <c r="L137" s="572"/>
      <c r="M137" s="572"/>
      <c r="N137" s="578" t="str">
        <f t="shared" si="6"/>
        <v/>
      </c>
    </row>
    <row r="138" spans="1:14" ht="19.5" customHeight="1">
      <c r="A138" s="560" t="str">
        <f t="shared" si="7"/>
        <v/>
      </c>
      <c r="B138" s="567"/>
      <c r="C138" s="568"/>
      <c r="D138" s="576"/>
      <c r="E138" s="573"/>
      <c r="F138" s="570"/>
      <c r="G138" s="575"/>
      <c r="H138" s="574"/>
      <c r="I138" s="572"/>
      <c r="J138" s="574"/>
      <c r="K138" s="572"/>
      <c r="L138" s="572"/>
      <c r="M138" s="572"/>
      <c r="N138" s="578" t="str">
        <f t="shared" si="6"/>
        <v/>
      </c>
    </row>
    <row r="139" spans="1:14" ht="19.5" customHeight="1">
      <c r="A139" s="560" t="str">
        <f t="shared" si="7"/>
        <v/>
      </c>
      <c r="B139" s="567"/>
      <c r="C139" s="568"/>
      <c r="D139" s="576"/>
      <c r="E139" s="573"/>
      <c r="F139" s="570"/>
      <c r="G139" s="575"/>
      <c r="H139" s="574"/>
      <c r="I139" s="572"/>
      <c r="J139" s="574"/>
      <c r="K139" s="572"/>
      <c r="L139" s="572"/>
      <c r="M139" s="572"/>
      <c r="N139" s="578" t="str">
        <f t="shared" si="6"/>
        <v/>
      </c>
    </row>
    <row r="140" spans="1:14" ht="19.5" customHeight="1">
      <c r="A140" s="560" t="str">
        <f t="shared" si="7"/>
        <v/>
      </c>
      <c r="B140" s="567"/>
      <c r="C140" s="568"/>
      <c r="D140" s="576"/>
      <c r="E140" s="573"/>
      <c r="F140" s="570"/>
      <c r="G140" s="575"/>
      <c r="H140" s="574"/>
      <c r="I140" s="572"/>
      <c r="J140" s="574"/>
      <c r="K140" s="572"/>
      <c r="L140" s="572"/>
      <c r="M140" s="572"/>
      <c r="N140" s="578" t="str">
        <f t="shared" si="6"/>
        <v/>
      </c>
    </row>
    <row r="141" spans="1:14" ht="19.5" customHeight="1">
      <c r="A141" s="560" t="str">
        <f t="shared" si="7"/>
        <v/>
      </c>
      <c r="B141" s="567"/>
      <c r="C141" s="568"/>
      <c r="D141" s="576"/>
      <c r="E141" s="573"/>
      <c r="F141" s="570"/>
      <c r="G141" s="575"/>
      <c r="H141" s="574"/>
      <c r="I141" s="572"/>
      <c r="J141" s="574"/>
      <c r="K141" s="572"/>
      <c r="L141" s="572"/>
      <c r="M141" s="572"/>
      <c r="N141" s="578" t="str">
        <f t="shared" si="6"/>
        <v/>
      </c>
    </row>
    <row r="142" spans="1:14" ht="19.5" customHeight="1">
      <c r="A142" s="560" t="str">
        <f t="shared" si="7"/>
        <v/>
      </c>
      <c r="B142" s="567"/>
      <c r="C142" s="568"/>
      <c r="D142" s="576"/>
      <c r="E142" s="573"/>
      <c r="F142" s="570"/>
      <c r="G142" s="575"/>
      <c r="H142" s="574"/>
      <c r="I142" s="572"/>
      <c r="J142" s="574"/>
      <c r="K142" s="572"/>
      <c r="L142" s="572"/>
      <c r="M142" s="572"/>
      <c r="N142" s="578" t="str">
        <f t="shared" si="6"/>
        <v/>
      </c>
    </row>
    <row r="143" spans="1:14" ht="19.5" customHeight="1">
      <c r="A143" s="560" t="str">
        <f t="shared" si="7"/>
        <v/>
      </c>
      <c r="B143" s="567"/>
      <c r="C143" s="568"/>
      <c r="D143" s="576"/>
      <c r="E143" s="573"/>
      <c r="F143" s="570"/>
      <c r="G143" s="575"/>
      <c r="H143" s="574"/>
      <c r="I143" s="572"/>
      <c r="J143" s="574"/>
      <c r="K143" s="572"/>
      <c r="L143" s="572"/>
      <c r="M143" s="572"/>
      <c r="N143" s="578" t="str">
        <f t="shared" si="6"/>
        <v/>
      </c>
    </row>
    <row r="144" spans="1:14" ht="19.5" customHeight="1">
      <c r="A144" s="560" t="str">
        <f t="shared" si="7"/>
        <v/>
      </c>
      <c r="B144" s="567"/>
      <c r="C144" s="568"/>
      <c r="D144" s="576"/>
      <c r="E144" s="573"/>
      <c r="F144" s="570"/>
      <c r="G144" s="575"/>
      <c r="H144" s="574"/>
      <c r="I144" s="572"/>
      <c r="J144" s="574"/>
      <c r="K144" s="572"/>
      <c r="L144" s="572"/>
      <c r="M144" s="572"/>
      <c r="N144" s="578" t="str">
        <f t="shared" si="6"/>
        <v/>
      </c>
    </row>
    <row r="145" spans="1:14" ht="19.5" customHeight="1">
      <c r="A145" s="560" t="str">
        <f t="shared" si="7"/>
        <v/>
      </c>
      <c r="B145" s="567"/>
      <c r="C145" s="568"/>
      <c r="D145" s="576"/>
      <c r="E145" s="573"/>
      <c r="F145" s="570"/>
      <c r="G145" s="575"/>
      <c r="H145" s="574"/>
      <c r="I145" s="572"/>
      <c r="J145" s="574"/>
      <c r="K145" s="572"/>
      <c r="L145" s="572"/>
      <c r="M145" s="572"/>
      <c r="N145" s="578" t="str">
        <f t="shared" si="6"/>
        <v/>
      </c>
    </row>
    <row r="146" spans="1:14" ht="19.5" customHeight="1">
      <c r="A146" s="560" t="str">
        <f t="shared" si="7"/>
        <v/>
      </c>
      <c r="B146" s="567"/>
      <c r="C146" s="568"/>
      <c r="D146" s="576"/>
      <c r="E146" s="573"/>
      <c r="F146" s="570"/>
      <c r="G146" s="575"/>
      <c r="H146" s="574"/>
      <c r="I146" s="572"/>
      <c r="J146" s="574"/>
      <c r="K146" s="572"/>
      <c r="L146" s="572"/>
      <c r="M146" s="572"/>
      <c r="N146" s="578" t="str">
        <f t="shared" si="6"/>
        <v/>
      </c>
    </row>
    <row r="147" spans="1:14" ht="19.5" customHeight="1">
      <c r="A147" s="560" t="str">
        <f t="shared" si="7"/>
        <v/>
      </c>
      <c r="B147" s="567"/>
      <c r="C147" s="568"/>
      <c r="D147" s="576"/>
      <c r="E147" s="573"/>
      <c r="F147" s="570"/>
      <c r="G147" s="575"/>
      <c r="H147" s="574"/>
      <c r="I147" s="572"/>
      <c r="J147" s="574"/>
      <c r="K147" s="572"/>
      <c r="L147" s="572"/>
      <c r="M147" s="572"/>
      <c r="N147" s="578" t="str">
        <f t="shared" si="6"/>
        <v/>
      </c>
    </row>
    <row r="148" spans="1:14" ht="19.5" customHeight="1">
      <c r="A148" s="560" t="str">
        <f t="shared" si="7"/>
        <v/>
      </c>
      <c r="B148" s="567"/>
      <c r="C148" s="568"/>
      <c r="D148" s="576"/>
      <c r="E148" s="573"/>
      <c r="F148" s="570"/>
      <c r="G148" s="575"/>
      <c r="H148" s="574"/>
      <c r="I148" s="572"/>
      <c r="J148" s="574"/>
      <c r="K148" s="572"/>
      <c r="L148" s="572"/>
      <c r="M148" s="572"/>
      <c r="N148" s="578" t="str">
        <f t="shared" si="6"/>
        <v/>
      </c>
    </row>
    <row r="149" spans="1:14" ht="19.5" customHeight="1">
      <c r="A149" s="560" t="str">
        <f t="shared" si="7"/>
        <v/>
      </c>
      <c r="B149" s="567"/>
      <c r="C149" s="568"/>
      <c r="D149" s="576"/>
      <c r="E149" s="573"/>
      <c r="F149" s="570"/>
      <c r="G149" s="575"/>
      <c r="H149" s="574"/>
      <c r="I149" s="572"/>
      <c r="J149" s="574"/>
      <c r="K149" s="572"/>
      <c r="L149" s="572"/>
      <c r="M149" s="572"/>
      <c r="N149" s="578" t="str">
        <f t="shared" si="6"/>
        <v/>
      </c>
    </row>
    <row r="150" spans="1:14" ht="19.5" customHeight="1">
      <c r="A150" s="560" t="str">
        <f t="shared" si="7"/>
        <v/>
      </c>
      <c r="B150" s="567"/>
      <c r="C150" s="568"/>
      <c r="D150" s="576"/>
      <c r="E150" s="573"/>
      <c r="F150" s="570"/>
      <c r="G150" s="575"/>
      <c r="H150" s="574"/>
      <c r="I150" s="572"/>
      <c r="J150" s="574"/>
      <c r="K150" s="572"/>
      <c r="L150" s="572"/>
      <c r="M150" s="572"/>
      <c r="N150" s="578" t="str">
        <f t="shared" si="6"/>
        <v/>
      </c>
    </row>
    <row r="151" spans="1:14" ht="19.5" customHeight="1">
      <c r="A151" s="560" t="str">
        <f t="shared" si="7"/>
        <v/>
      </c>
      <c r="B151" s="567"/>
      <c r="C151" s="568"/>
      <c r="D151" s="576"/>
      <c r="E151" s="573"/>
      <c r="F151" s="570"/>
      <c r="G151" s="575"/>
      <c r="H151" s="574"/>
      <c r="I151" s="572"/>
      <c r="J151" s="574"/>
      <c r="K151" s="572"/>
      <c r="L151" s="572"/>
      <c r="M151" s="572"/>
      <c r="N151" s="578" t="str">
        <f t="shared" si="6"/>
        <v/>
      </c>
    </row>
    <row r="152" spans="1:14" ht="19.5" customHeight="1">
      <c r="A152" s="560" t="str">
        <f t="shared" si="7"/>
        <v/>
      </c>
      <c r="B152" s="567"/>
      <c r="C152" s="568"/>
      <c r="D152" s="576"/>
      <c r="E152" s="573"/>
      <c r="F152" s="570"/>
      <c r="G152" s="575"/>
      <c r="H152" s="574"/>
      <c r="I152" s="572"/>
      <c r="J152" s="574"/>
      <c r="K152" s="572"/>
      <c r="L152" s="572"/>
      <c r="M152" s="572"/>
      <c r="N152" s="578" t="str">
        <f t="shared" si="6"/>
        <v/>
      </c>
    </row>
    <row r="153" spans="1:14" ht="19.5" customHeight="1">
      <c r="A153" s="560" t="str">
        <f t="shared" si="7"/>
        <v/>
      </c>
      <c r="B153" s="567"/>
      <c r="C153" s="568"/>
      <c r="D153" s="576"/>
      <c r="E153" s="573"/>
      <c r="F153" s="570"/>
      <c r="G153" s="575"/>
      <c r="H153" s="574"/>
      <c r="I153" s="572"/>
      <c r="J153" s="574"/>
      <c r="K153" s="572"/>
      <c r="L153" s="572"/>
      <c r="M153" s="572"/>
      <c r="N153" s="578" t="str">
        <f t="shared" si="6"/>
        <v/>
      </c>
    </row>
    <row r="154" spans="1:14" ht="19.5" customHeight="1">
      <c r="A154" s="560" t="str">
        <f t="shared" si="7"/>
        <v/>
      </c>
      <c r="B154" s="567"/>
      <c r="C154" s="568"/>
      <c r="D154" s="576"/>
      <c r="E154" s="573"/>
      <c r="F154" s="570"/>
      <c r="G154" s="575"/>
      <c r="H154" s="574"/>
      <c r="I154" s="572"/>
      <c r="J154" s="574"/>
      <c r="K154" s="572"/>
      <c r="L154" s="572"/>
      <c r="M154" s="572"/>
      <c r="N154" s="578" t="str">
        <f t="shared" si="6"/>
        <v/>
      </c>
    </row>
    <row r="155" spans="1:14" ht="19.5" customHeight="1">
      <c r="A155" s="560" t="str">
        <f t="shared" si="7"/>
        <v/>
      </c>
      <c r="B155" s="567"/>
      <c r="C155" s="568"/>
      <c r="D155" s="576"/>
      <c r="E155" s="573"/>
      <c r="F155" s="570"/>
      <c r="G155" s="575"/>
      <c r="H155" s="574"/>
      <c r="I155" s="572"/>
      <c r="J155" s="574"/>
      <c r="K155" s="572"/>
      <c r="L155" s="572"/>
      <c r="M155" s="572"/>
      <c r="N155" s="578" t="str">
        <f t="shared" si="6"/>
        <v/>
      </c>
    </row>
    <row r="156" spans="1:14" ht="19.5" customHeight="1">
      <c r="A156" s="560" t="str">
        <f t="shared" si="7"/>
        <v/>
      </c>
      <c r="B156" s="567"/>
      <c r="C156" s="568"/>
      <c r="D156" s="576"/>
      <c r="E156" s="573"/>
      <c r="F156" s="570"/>
      <c r="G156" s="575"/>
      <c r="H156" s="574"/>
      <c r="I156" s="572"/>
      <c r="J156" s="574"/>
      <c r="K156" s="572"/>
      <c r="L156" s="572"/>
      <c r="M156" s="572"/>
      <c r="N156" s="578" t="str">
        <f t="shared" si="6"/>
        <v/>
      </c>
    </row>
    <row r="157" spans="1:14" ht="19.5" customHeight="1">
      <c r="A157" s="560" t="str">
        <f t="shared" si="7"/>
        <v/>
      </c>
      <c r="B157" s="567"/>
      <c r="C157" s="568"/>
      <c r="D157" s="576"/>
      <c r="E157" s="573"/>
      <c r="F157" s="570"/>
      <c r="G157" s="575"/>
      <c r="H157" s="574"/>
      <c r="I157" s="572"/>
      <c r="J157" s="574"/>
      <c r="K157" s="572"/>
      <c r="L157" s="572"/>
      <c r="M157" s="572"/>
      <c r="N157" s="578" t="str">
        <f t="shared" si="6"/>
        <v/>
      </c>
    </row>
    <row r="158" spans="1:14" ht="19.5" customHeight="1">
      <c r="A158" s="560" t="str">
        <f t="shared" si="7"/>
        <v/>
      </c>
      <c r="B158" s="567"/>
      <c r="C158" s="568"/>
      <c r="D158" s="576"/>
      <c r="E158" s="573"/>
      <c r="F158" s="570"/>
      <c r="G158" s="575"/>
      <c r="H158" s="574"/>
      <c r="I158" s="572"/>
      <c r="J158" s="574"/>
      <c r="K158" s="572"/>
      <c r="L158" s="572"/>
      <c r="M158" s="572"/>
      <c r="N158" s="578" t="str">
        <f t="shared" si="6"/>
        <v/>
      </c>
    </row>
    <row r="159" spans="1:14" ht="19.5" customHeight="1">
      <c r="A159" s="560" t="str">
        <f t="shared" si="7"/>
        <v/>
      </c>
      <c r="B159" s="567"/>
      <c r="C159" s="568"/>
      <c r="D159" s="576"/>
      <c r="E159" s="573"/>
      <c r="F159" s="570"/>
      <c r="G159" s="575"/>
      <c r="H159" s="574"/>
      <c r="I159" s="572"/>
      <c r="J159" s="574"/>
      <c r="K159" s="572"/>
      <c r="L159" s="572"/>
      <c r="M159" s="572"/>
      <c r="N159" s="578" t="str">
        <f t="shared" si="6"/>
        <v/>
      </c>
    </row>
    <row r="160" spans="1:14" ht="19.5" customHeight="1">
      <c r="A160" s="560" t="str">
        <f t="shared" si="7"/>
        <v/>
      </c>
      <c r="B160" s="567"/>
      <c r="C160" s="568"/>
      <c r="D160" s="576"/>
      <c r="E160" s="573"/>
      <c r="F160" s="570"/>
      <c r="G160" s="575"/>
      <c r="H160" s="574"/>
      <c r="I160" s="572"/>
      <c r="J160" s="574"/>
      <c r="K160" s="572"/>
      <c r="L160" s="572"/>
      <c r="M160" s="572"/>
      <c r="N160" s="578" t="str">
        <f t="shared" si="6"/>
        <v/>
      </c>
    </row>
    <row r="161" spans="1:14" ht="19.5" customHeight="1">
      <c r="A161" s="560" t="str">
        <f t="shared" si="7"/>
        <v/>
      </c>
      <c r="B161" s="567"/>
      <c r="C161" s="568"/>
      <c r="D161" s="576"/>
      <c r="E161" s="573"/>
      <c r="F161" s="570"/>
      <c r="G161" s="575"/>
      <c r="H161" s="574"/>
      <c r="I161" s="572"/>
      <c r="J161" s="574"/>
      <c r="K161" s="572"/>
      <c r="L161" s="572"/>
      <c r="M161" s="572"/>
      <c r="N161" s="578" t="str">
        <f t="shared" si="6"/>
        <v/>
      </c>
    </row>
    <row r="162" spans="1:14" ht="19.5" customHeight="1">
      <c r="A162" s="560" t="str">
        <f t="shared" si="7"/>
        <v/>
      </c>
      <c r="B162" s="567"/>
      <c r="C162" s="568"/>
      <c r="D162" s="576"/>
      <c r="E162" s="573"/>
      <c r="F162" s="570"/>
      <c r="G162" s="575"/>
      <c r="H162" s="574"/>
      <c r="I162" s="572"/>
      <c r="J162" s="574"/>
      <c r="K162" s="572"/>
      <c r="L162" s="572"/>
      <c r="M162" s="572"/>
      <c r="N162" s="578" t="str">
        <f t="shared" si="6"/>
        <v/>
      </c>
    </row>
    <row r="163" spans="1:14" ht="19.5" customHeight="1">
      <c r="A163" s="560" t="str">
        <f t="shared" si="7"/>
        <v/>
      </c>
      <c r="B163" s="567"/>
      <c r="C163" s="568"/>
      <c r="D163" s="576"/>
      <c r="E163" s="573"/>
      <c r="F163" s="570"/>
      <c r="G163" s="575"/>
      <c r="H163" s="574"/>
      <c r="I163" s="572"/>
      <c r="J163" s="574"/>
      <c r="K163" s="572"/>
      <c r="L163" s="572"/>
      <c r="M163" s="572"/>
      <c r="N163" s="578" t="str">
        <f t="shared" si="6"/>
        <v/>
      </c>
    </row>
    <row r="164" spans="1:14" ht="19.5" customHeight="1">
      <c r="A164" s="560" t="str">
        <f t="shared" si="7"/>
        <v/>
      </c>
      <c r="B164" s="567"/>
      <c r="C164" s="568"/>
      <c r="D164" s="576"/>
      <c r="E164" s="573"/>
      <c r="F164" s="570"/>
      <c r="G164" s="575"/>
      <c r="H164" s="574"/>
      <c r="I164" s="572"/>
      <c r="J164" s="574"/>
      <c r="K164" s="572"/>
      <c r="L164" s="572"/>
      <c r="M164" s="572"/>
      <c r="N164" s="578" t="str">
        <f t="shared" si="6"/>
        <v/>
      </c>
    </row>
    <row r="165" spans="1:14" ht="19.5" customHeight="1">
      <c r="A165" s="560" t="str">
        <f t="shared" si="7"/>
        <v/>
      </c>
      <c r="B165" s="567"/>
      <c r="C165" s="568"/>
      <c r="D165" s="576"/>
      <c r="E165" s="573"/>
      <c r="F165" s="570"/>
      <c r="G165" s="575"/>
      <c r="H165" s="574"/>
      <c r="I165" s="572"/>
      <c r="J165" s="574"/>
      <c r="K165" s="572"/>
      <c r="L165" s="572"/>
      <c r="M165" s="572"/>
      <c r="N165" s="578" t="str">
        <f t="shared" si="6"/>
        <v/>
      </c>
    </row>
    <row r="166" spans="1:14" ht="19.5" customHeight="1">
      <c r="A166" s="560" t="str">
        <f t="shared" si="7"/>
        <v/>
      </c>
      <c r="B166" s="567"/>
      <c r="C166" s="568"/>
      <c r="D166" s="576"/>
      <c r="E166" s="573"/>
      <c r="F166" s="570"/>
      <c r="G166" s="575"/>
      <c r="H166" s="574"/>
      <c r="I166" s="572"/>
      <c r="J166" s="574"/>
      <c r="K166" s="572"/>
      <c r="L166" s="572"/>
      <c r="M166" s="572"/>
      <c r="N166" s="578" t="str">
        <f t="shared" si="6"/>
        <v/>
      </c>
    </row>
    <row r="167" spans="1:14" ht="19.5" customHeight="1">
      <c r="A167" s="560" t="str">
        <f t="shared" si="7"/>
        <v/>
      </c>
      <c r="B167" s="567"/>
      <c r="C167" s="568"/>
      <c r="D167" s="576"/>
      <c r="E167" s="573"/>
      <c r="F167" s="570"/>
      <c r="G167" s="575"/>
      <c r="H167" s="574"/>
      <c r="I167" s="572"/>
      <c r="J167" s="574"/>
      <c r="K167" s="572"/>
      <c r="L167" s="572"/>
      <c r="M167" s="572"/>
      <c r="N167" s="578" t="str">
        <f t="shared" si="6"/>
        <v/>
      </c>
    </row>
    <row r="168" spans="1:14" ht="19.5" customHeight="1">
      <c r="A168" s="560" t="str">
        <f t="shared" si="7"/>
        <v/>
      </c>
      <c r="B168" s="567"/>
      <c r="C168" s="568"/>
      <c r="D168" s="576"/>
      <c r="E168" s="573"/>
      <c r="F168" s="570"/>
      <c r="G168" s="575"/>
      <c r="H168" s="574"/>
      <c r="I168" s="572"/>
      <c r="J168" s="574"/>
      <c r="K168" s="572"/>
      <c r="L168" s="572"/>
      <c r="M168" s="572"/>
      <c r="N168" s="578" t="str">
        <f t="shared" si="6"/>
        <v/>
      </c>
    </row>
    <row r="169" spans="1:14" ht="19.5" customHeight="1">
      <c r="A169" s="560" t="str">
        <f t="shared" si="7"/>
        <v/>
      </c>
      <c r="B169" s="567"/>
      <c r="C169" s="568"/>
      <c r="D169" s="576"/>
      <c r="E169" s="573"/>
      <c r="F169" s="570"/>
      <c r="G169" s="575"/>
      <c r="H169" s="574"/>
      <c r="I169" s="572"/>
      <c r="J169" s="574"/>
      <c r="K169" s="572"/>
      <c r="L169" s="572"/>
      <c r="M169" s="572"/>
      <c r="N169" s="578" t="str">
        <f t="shared" si="6"/>
        <v/>
      </c>
    </row>
    <row r="170" spans="1:14" ht="19.5" customHeight="1">
      <c r="A170" s="560" t="str">
        <f t="shared" si="7"/>
        <v/>
      </c>
      <c r="B170" s="567"/>
      <c r="C170" s="568"/>
      <c r="D170" s="576"/>
      <c r="E170" s="573"/>
      <c r="F170" s="570"/>
      <c r="G170" s="575"/>
      <c r="H170" s="574"/>
      <c r="I170" s="572"/>
      <c r="J170" s="574"/>
      <c r="K170" s="572"/>
      <c r="L170" s="572"/>
      <c r="M170" s="572"/>
      <c r="N170" s="578" t="str">
        <f t="shared" si="6"/>
        <v/>
      </c>
    </row>
    <row r="171" spans="1:14" ht="19.5" customHeight="1">
      <c r="A171" s="560" t="str">
        <f t="shared" si="7"/>
        <v/>
      </c>
      <c r="B171" s="567"/>
      <c r="C171" s="568"/>
      <c r="D171" s="576"/>
      <c r="E171" s="573"/>
      <c r="F171" s="570"/>
      <c r="G171" s="575"/>
      <c r="H171" s="574"/>
      <c r="I171" s="572"/>
      <c r="J171" s="574"/>
      <c r="K171" s="572"/>
      <c r="L171" s="572"/>
      <c r="M171" s="572"/>
      <c r="N171" s="578" t="str">
        <f t="shared" si="6"/>
        <v/>
      </c>
    </row>
    <row r="172" spans="1:14" ht="19.5" customHeight="1">
      <c r="A172" s="560" t="str">
        <f t="shared" si="7"/>
        <v/>
      </c>
      <c r="B172" s="567"/>
      <c r="C172" s="568"/>
      <c r="D172" s="576"/>
      <c r="E172" s="573"/>
      <c r="F172" s="570"/>
      <c r="G172" s="575"/>
      <c r="H172" s="574"/>
      <c r="I172" s="572"/>
      <c r="J172" s="574"/>
      <c r="K172" s="572"/>
      <c r="L172" s="572"/>
      <c r="M172" s="572"/>
      <c r="N172" s="578" t="str">
        <f t="shared" si="6"/>
        <v/>
      </c>
    </row>
    <row r="173" spans="1:14" ht="19.5" customHeight="1">
      <c r="A173" s="560" t="str">
        <f t="shared" si="7"/>
        <v/>
      </c>
      <c r="B173" s="567"/>
      <c r="C173" s="568"/>
      <c r="D173" s="576"/>
      <c r="E173" s="573"/>
      <c r="F173" s="570"/>
      <c r="G173" s="575"/>
      <c r="H173" s="574"/>
      <c r="I173" s="572"/>
      <c r="J173" s="574"/>
      <c r="K173" s="572"/>
      <c r="L173" s="572"/>
      <c r="M173" s="572"/>
      <c r="N173" s="578" t="str">
        <f t="shared" si="6"/>
        <v/>
      </c>
    </row>
    <row r="174" spans="1:14" ht="19.5" customHeight="1">
      <c r="A174" s="560" t="str">
        <f t="shared" si="7"/>
        <v/>
      </c>
      <c r="B174" s="567"/>
      <c r="C174" s="568"/>
      <c r="D174" s="576"/>
      <c r="E174" s="573"/>
      <c r="F174" s="570"/>
      <c r="G174" s="575"/>
      <c r="H174" s="574"/>
      <c r="I174" s="572"/>
      <c r="J174" s="574"/>
      <c r="K174" s="572"/>
      <c r="L174" s="572"/>
      <c r="M174" s="572"/>
      <c r="N174" s="578" t="str">
        <f t="shared" ref="N174:N237" si="8">IF(A174&lt;&gt;"",HYPERLINK("#"&amp;A174&amp;"!A1","跳转"),"")</f>
        <v/>
      </c>
    </row>
    <row r="175" spans="1:14" ht="19.5" customHeight="1">
      <c r="A175" s="560" t="str">
        <f t="shared" si="7"/>
        <v/>
      </c>
      <c r="B175" s="567"/>
      <c r="C175" s="568"/>
      <c r="D175" s="576"/>
      <c r="E175" s="573"/>
      <c r="F175" s="570"/>
      <c r="G175" s="575"/>
      <c r="H175" s="574"/>
      <c r="I175" s="572"/>
      <c r="J175" s="574"/>
      <c r="K175" s="572"/>
      <c r="L175" s="572"/>
      <c r="M175" s="572"/>
      <c r="N175" s="578" t="str">
        <f t="shared" si="8"/>
        <v/>
      </c>
    </row>
    <row r="176" spans="1:14" ht="19.5" customHeight="1">
      <c r="A176" s="560" t="str">
        <f t="shared" si="7"/>
        <v/>
      </c>
      <c r="B176" s="567"/>
      <c r="C176" s="568"/>
      <c r="D176" s="576"/>
      <c r="E176" s="573"/>
      <c r="F176" s="570"/>
      <c r="G176" s="575"/>
      <c r="H176" s="574"/>
      <c r="I176" s="572"/>
      <c r="J176" s="574"/>
      <c r="K176" s="572"/>
      <c r="L176" s="572"/>
      <c r="M176" s="572"/>
      <c r="N176" s="578" t="str">
        <f t="shared" si="8"/>
        <v/>
      </c>
    </row>
    <row r="177" spans="1:14" ht="19.5" customHeight="1">
      <c r="A177" s="560" t="str">
        <f t="shared" si="7"/>
        <v/>
      </c>
      <c r="B177" s="567"/>
      <c r="C177" s="568"/>
      <c r="D177" s="576"/>
      <c r="E177" s="573"/>
      <c r="F177" s="570"/>
      <c r="G177" s="575"/>
      <c r="H177" s="574"/>
      <c r="I177" s="572"/>
      <c r="J177" s="574"/>
      <c r="K177" s="572"/>
      <c r="L177" s="572"/>
      <c r="M177" s="572"/>
      <c r="N177" s="578" t="str">
        <f t="shared" si="8"/>
        <v/>
      </c>
    </row>
    <row r="178" spans="1:14" ht="19.5" customHeight="1">
      <c r="A178" s="560" t="str">
        <f t="shared" si="7"/>
        <v/>
      </c>
      <c r="B178" s="567"/>
      <c r="C178" s="568"/>
      <c r="D178" s="576"/>
      <c r="E178" s="573"/>
      <c r="F178" s="570"/>
      <c r="G178" s="575"/>
      <c r="H178" s="574"/>
      <c r="I178" s="572"/>
      <c r="J178" s="574"/>
      <c r="K178" s="572"/>
      <c r="L178" s="572"/>
      <c r="M178" s="572"/>
      <c r="N178" s="578" t="str">
        <f t="shared" si="8"/>
        <v/>
      </c>
    </row>
    <row r="179" spans="1:14" ht="19.5" customHeight="1">
      <c r="A179" s="560" t="str">
        <f t="shared" si="7"/>
        <v/>
      </c>
      <c r="B179" s="567"/>
      <c r="C179" s="568"/>
      <c r="D179" s="576"/>
      <c r="E179" s="573"/>
      <c r="F179" s="570"/>
      <c r="G179" s="575"/>
      <c r="H179" s="574"/>
      <c r="I179" s="572"/>
      <c r="J179" s="574"/>
      <c r="K179" s="572"/>
      <c r="L179" s="572"/>
      <c r="M179" s="572"/>
      <c r="N179" s="578" t="str">
        <f t="shared" si="8"/>
        <v/>
      </c>
    </row>
    <row r="180" spans="1:14" ht="19.5" customHeight="1">
      <c r="A180" s="560" t="str">
        <f t="shared" si="7"/>
        <v/>
      </c>
      <c r="B180" s="567"/>
      <c r="C180" s="568"/>
      <c r="D180" s="576"/>
      <c r="E180" s="573"/>
      <c r="F180" s="570"/>
      <c r="G180" s="575"/>
      <c r="H180" s="574"/>
      <c r="I180" s="572"/>
      <c r="J180" s="574"/>
      <c r="K180" s="572"/>
      <c r="L180" s="572"/>
      <c r="M180" s="572"/>
      <c r="N180" s="578" t="str">
        <f t="shared" si="8"/>
        <v/>
      </c>
    </row>
    <row r="181" spans="1:14" ht="19.5" customHeight="1">
      <c r="A181" s="560" t="str">
        <f t="shared" si="7"/>
        <v/>
      </c>
      <c r="B181" s="567"/>
      <c r="C181" s="568"/>
      <c r="D181" s="576"/>
      <c r="E181" s="573"/>
      <c r="F181" s="570"/>
      <c r="G181" s="575"/>
      <c r="H181" s="574"/>
      <c r="I181" s="572"/>
      <c r="J181" s="574"/>
      <c r="K181" s="572"/>
      <c r="L181" s="572"/>
      <c r="M181" s="572"/>
      <c r="N181" s="578" t="str">
        <f t="shared" si="8"/>
        <v/>
      </c>
    </row>
    <row r="182" spans="1:14" ht="19.5" customHeight="1">
      <c r="A182" s="560" t="str">
        <f t="shared" ref="A182:A245" si="9">IF(C182&lt;&gt;"",ROW(C182)-1,"")</f>
        <v/>
      </c>
      <c r="B182" s="567"/>
      <c r="C182" s="568"/>
      <c r="D182" s="576"/>
      <c r="E182" s="573"/>
      <c r="F182" s="570"/>
      <c r="G182" s="575"/>
      <c r="H182" s="574"/>
      <c r="I182" s="572"/>
      <c r="J182" s="574"/>
      <c r="K182" s="572"/>
      <c r="L182" s="572"/>
      <c r="M182" s="572"/>
      <c r="N182" s="578" t="str">
        <f t="shared" si="8"/>
        <v/>
      </c>
    </row>
    <row r="183" spans="1:14" ht="19.5" customHeight="1">
      <c r="A183" s="560" t="str">
        <f t="shared" si="9"/>
        <v/>
      </c>
      <c r="B183" s="567"/>
      <c r="C183" s="568"/>
      <c r="D183" s="576"/>
      <c r="E183" s="573"/>
      <c r="F183" s="570"/>
      <c r="G183" s="575"/>
      <c r="H183" s="574"/>
      <c r="I183" s="572"/>
      <c r="J183" s="574"/>
      <c r="K183" s="572"/>
      <c r="L183" s="572"/>
      <c r="M183" s="572"/>
      <c r="N183" s="578" t="str">
        <f t="shared" si="8"/>
        <v/>
      </c>
    </row>
    <row r="184" spans="1:14" ht="19.5" customHeight="1">
      <c r="A184" s="560" t="str">
        <f t="shared" si="9"/>
        <v/>
      </c>
      <c r="B184" s="567"/>
      <c r="C184" s="568"/>
      <c r="D184" s="576"/>
      <c r="E184" s="573"/>
      <c r="F184" s="570"/>
      <c r="G184" s="575"/>
      <c r="H184" s="574"/>
      <c r="I184" s="572"/>
      <c r="J184" s="574"/>
      <c r="K184" s="572"/>
      <c r="L184" s="572"/>
      <c r="M184" s="572"/>
      <c r="N184" s="578" t="str">
        <f t="shared" si="8"/>
        <v/>
      </c>
    </row>
    <row r="185" spans="1:14" ht="19.5" customHeight="1">
      <c r="A185" s="560" t="str">
        <f t="shared" si="9"/>
        <v/>
      </c>
      <c r="B185" s="567"/>
      <c r="C185" s="568"/>
      <c r="D185" s="576"/>
      <c r="E185" s="573"/>
      <c r="F185" s="570"/>
      <c r="G185" s="575"/>
      <c r="H185" s="574"/>
      <c r="I185" s="572"/>
      <c r="J185" s="574"/>
      <c r="K185" s="572"/>
      <c r="L185" s="572"/>
      <c r="M185" s="572"/>
      <c r="N185" s="578" t="str">
        <f t="shared" si="8"/>
        <v/>
      </c>
    </row>
    <row r="186" spans="1:14" ht="19.5" customHeight="1">
      <c r="A186" s="560" t="str">
        <f t="shared" si="9"/>
        <v/>
      </c>
      <c r="B186" s="567"/>
      <c r="C186" s="568"/>
      <c r="D186" s="576"/>
      <c r="E186" s="573"/>
      <c r="F186" s="570"/>
      <c r="G186" s="575"/>
      <c r="H186" s="574"/>
      <c r="I186" s="572"/>
      <c r="J186" s="574"/>
      <c r="K186" s="572"/>
      <c r="L186" s="572"/>
      <c r="M186" s="572"/>
      <c r="N186" s="578" t="str">
        <f t="shared" si="8"/>
        <v/>
      </c>
    </row>
    <row r="187" spans="1:14" ht="19.5" customHeight="1">
      <c r="A187" s="560" t="str">
        <f t="shared" si="9"/>
        <v/>
      </c>
      <c r="B187" s="567"/>
      <c r="C187" s="568"/>
      <c r="D187" s="576"/>
      <c r="E187" s="573"/>
      <c r="F187" s="570"/>
      <c r="G187" s="575"/>
      <c r="H187" s="574"/>
      <c r="I187" s="572"/>
      <c r="J187" s="574"/>
      <c r="K187" s="572"/>
      <c r="L187" s="572"/>
      <c r="M187" s="572"/>
      <c r="N187" s="578" t="str">
        <f t="shared" si="8"/>
        <v/>
      </c>
    </row>
    <row r="188" spans="1:14" ht="19.5" customHeight="1">
      <c r="A188" s="560" t="str">
        <f t="shared" si="9"/>
        <v/>
      </c>
      <c r="B188" s="567"/>
      <c r="C188" s="568"/>
      <c r="D188" s="576"/>
      <c r="E188" s="573"/>
      <c r="F188" s="570"/>
      <c r="G188" s="575"/>
      <c r="H188" s="574"/>
      <c r="I188" s="572"/>
      <c r="J188" s="574"/>
      <c r="K188" s="572"/>
      <c r="L188" s="572"/>
      <c r="M188" s="572"/>
      <c r="N188" s="578" t="str">
        <f t="shared" si="8"/>
        <v/>
      </c>
    </row>
    <row r="189" spans="1:14" ht="19.5" customHeight="1">
      <c r="A189" s="560" t="str">
        <f t="shared" si="9"/>
        <v/>
      </c>
      <c r="B189" s="567"/>
      <c r="C189" s="568"/>
      <c r="D189" s="576"/>
      <c r="E189" s="573"/>
      <c r="F189" s="570"/>
      <c r="G189" s="575"/>
      <c r="H189" s="574"/>
      <c r="I189" s="572"/>
      <c r="J189" s="574"/>
      <c r="K189" s="572"/>
      <c r="L189" s="572"/>
      <c r="M189" s="572"/>
      <c r="N189" s="578" t="str">
        <f t="shared" si="8"/>
        <v/>
      </c>
    </row>
    <row r="190" spans="1:14" ht="19.5" customHeight="1">
      <c r="A190" s="560" t="str">
        <f t="shared" si="9"/>
        <v/>
      </c>
      <c r="B190" s="567"/>
      <c r="C190" s="568"/>
      <c r="D190" s="576"/>
      <c r="E190" s="573"/>
      <c r="F190" s="570"/>
      <c r="G190" s="575"/>
      <c r="H190" s="574"/>
      <c r="I190" s="572"/>
      <c r="J190" s="574"/>
      <c r="K190" s="572"/>
      <c r="L190" s="572"/>
      <c r="M190" s="572"/>
      <c r="N190" s="578" t="str">
        <f t="shared" si="8"/>
        <v/>
      </c>
    </row>
    <row r="191" spans="1:14" ht="19.5" customHeight="1">
      <c r="A191" s="560" t="str">
        <f t="shared" si="9"/>
        <v/>
      </c>
      <c r="B191" s="567"/>
      <c r="C191" s="568"/>
      <c r="D191" s="576"/>
      <c r="E191" s="573"/>
      <c r="F191" s="570"/>
      <c r="G191" s="575"/>
      <c r="H191" s="574"/>
      <c r="I191" s="572"/>
      <c r="J191" s="574"/>
      <c r="K191" s="572"/>
      <c r="L191" s="572"/>
      <c r="M191" s="572"/>
      <c r="N191" s="578" t="str">
        <f t="shared" si="8"/>
        <v/>
      </c>
    </row>
    <row r="192" spans="1:14" ht="19.5" customHeight="1">
      <c r="A192" s="560" t="str">
        <f t="shared" si="9"/>
        <v/>
      </c>
      <c r="B192" s="567"/>
      <c r="C192" s="568"/>
      <c r="D192" s="576"/>
      <c r="E192" s="573"/>
      <c r="F192" s="570"/>
      <c r="G192" s="575"/>
      <c r="H192" s="574"/>
      <c r="I192" s="572"/>
      <c r="J192" s="574"/>
      <c r="K192" s="572"/>
      <c r="L192" s="572"/>
      <c r="M192" s="572"/>
      <c r="N192" s="578" t="str">
        <f t="shared" si="8"/>
        <v/>
      </c>
    </row>
    <row r="193" spans="1:14" ht="19.5" customHeight="1">
      <c r="A193" s="560" t="str">
        <f t="shared" si="9"/>
        <v/>
      </c>
      <c r="B193" s="567"/>
      <c r="C193" s="568"/>
      <c r="D193" s="576"/>
      <c r="E193" s="573"/>
      <c r="F193" s="570"/>
      <c r="G193" s="575"/>
      <c r="H193" s="574"/>
      <c r="I193" s="572"/>
      <c r="J193" s="574"/>
      <c r="K193" s="572"/>
      <c r="L193" s="572"/>
      <c r="M193" s="572"/>
      <c r="N193" s="578" t="str">
        <f t="shared" si="8"/>
        <v/>
      </c>
    </row>
    <row r="194" spans="1:14" ht="19.5" customHeight="1">
      <c r="A194" s="560" t="str">
        <f t="shared" si="9"/>
        <v/>
      </c>
      <c r="B194" s="567"/>
      <c r="C194" s="568"/>
      <c r="D194" s="576"/>
      <c r="E194" s="573"/>
      <c r="F194" s="570"/>
      <c r="G194" s="575"/>
      <c r="H194" s="574"/>
      <c r="I194" s="572"/>
      <c r="J194" s="574"/>
      <c r="K194" s="572"/>
      <c r="L194" s="572"/>
      <c r="M194" s="572"/>
      <c r="N194" s="578" t="str">
        <f t="shared" si="8"/>
        <v/>
      </c>
    </row>
    <row r="195" spans="1:14" ht="19.5" customHeight="1">
      <c r="A195" s="560" t="str">
        <f t="shared" si="9"/>
        <v/>
      </c>
      <c r="B195" s="567"/>
      <c r="C195" s="568"/>
      <c r="D195" s="576"/>
      <c r="E195" s="573"/>
      <c r="F195" s="570"/>
      <c r="G195" s="575"/>
      <c r="H195" s="574"/>
      <c r="I195" s="572"/>
      <c r="J195" s="574"/>
      <c r="K195" s="572"/>
      <c r="L195" s="572"/>
      <c r="M195" s="572"/>
      <c r="N195" s="578" t="str">
        <f t="shared" si="8"/>
        <v/>
      </c>
    </row>
    <row r="196" spans="1:14" ht="19.5" customHeight="1">
      <c r="A196" s="560" t="str">
        <f t="shared" si="9"/>
        <v/>
      </c>
      <c r="B196" s="567"/>
      <c r="C196" s="568"/>
      <c r="D196" s="576"/>
      <c r="E196" s="573"/>
      <c r="F196" s="570"/>
      <c r="G196" s="575"/>
      <c r="H196" s="574"/>
      <c r="I196" s="572"/>
      <c r="J196" s="574"/>
      <c r="K196" s="572"/>
      <c r="L196" s="572"/>
      <c r="M196" s="572"/>
      <c r="N196" s="578" t="str">
        <f t="shared" si="8"/>
        <v/>
      </c>
    </row>
    <row r="197" spans="1:14" ht="19.5" customHeight="1">
      <c r="A197" s="560" t="str">
        <f t="shared" si="9"/>
        <v/>
      </c>
      <c r="B197" s="567"/>
      <c r="C197" s="568"/>
      <c r="D197" s="576"/>
      <c r="E197" s="573"/>
      <c r="F197" s="570"/>
      <c r="G197" s="575"/>
      <c r="H197" s="574"/>
      <c r="I197" s="572"/>
      <c r="J197" s="574"/>
      <c r="K197" s="572"/>
      <c r="L197" s="572"/>
      <c r="M197" s="572"/>
      <c r="N197" s="578" t="str">
        <f t="shared" si="8"/>
        <v/>
      </c>
    </row>
    <row r="198" spans="1:14" ht="19.5" customHeight="1">
      <c r="A198" s="560" t="str">
        <f t="shared" si="9"/>
        <v/>
      </c>
      <c r="B198" s="567"/>
      <c r="C198" s="568"/>
      <c r="D198" s="576"/>
      <c r="E198" s="573"/>
      <c r="F198" s="570"/>
      <c r="G198" s="575"/>
      <c r="H198" s="574"/>
      <c r="I198" s="572"/>
      <c r="J198" s="574"/>
      <c r="K198" s="572"/>
      <c r="L198" s="572"/>
      <c r="M198" s="572"/>
      <c r="N198" s="578" t="str">
        <f t="shared" si="8"/>
        <v/>
      </c>
    </row>
    <row r="199" spans="1:14" ht="19.5" customHeight="1">
      <c r="A199" s="560" t="str">
        <f t="shared" si="9"/>
        <v/>
      </c>
      <c r="B199" s="567"/>
      <c r="C199" s="568"/>
      <c r="D199" s="576"/>
      <c r="E199" s="573"/>
      <c r="F199" s="570"/>
      <c r="G199" s="575"/>
      <c r="H199" s="574"/>
      <c r="I199" s="572"/>
      <c r="J199" s="574"/>
      <c r="K199" s="572"/>
      <c r="L199" s="572"/>
      <c r="M199" s="572"/>
      <c r="N199" s="578" t="str">
        <f t="shared" si="8"/>
        <v/>
      </c>
    </row>
    <row r="200" spans="1:14" ht="19.5" customHeight="1">
      <c r="A200" s="560" t="str">
        <f t="shared" si="9"/>
        <v/>
      </c>
      <c r="B200" s="567"/>
      <c r="C200" s="568"/>
      <c r="D200" s="576"/>
      <c r="E200" s="573"/>
      <c r="F200" s="570"/>
      <c r="G200" s="575"/>
      <c r="H200" s="574"/>
      <c r="I200" s="572"/>
      <c r="J200" s="574"/>
      <c r="K200" s="572"/>
      <c r="L200" s="572"/>
      <c r="M200" s="572"/>
      <c r="N200" s="578" t="str">
        <f t="shared" si="8"/>
        <v/>
      </c>
    </row>
    <row r="201" spans="1:14" ht="19.5" customHeight="1">
      <c r="A201" s="560" t="str">
        <f t="shared" si="9"/>
        <v/>
      </c>
      <c r="B201" s="567"/>
      <c r="C201" s="568"/>
      <c r="D201" s="576"/>
      <c r="E201" s="573"/>
      <c r="F201" s="570"/>
      <c r="G201" s="575"/>
      <c r="H201" s="574"/>
      <c r="I201" s="572"/>
      <c r="J201" s="574"/>
      <c r="K201" s="572"/>
      <c r="L201" s="572"/>
      <c r="M201" s="572"/>
      <c r="N201" s="578" t="str">
        <f t="shared" si="8"/>
        <v/>
      </c>
    </row>
    <row r="202" spans="1:14" ht="19.5" customHeight="1">
      <c r="A202" s="560" t="str">
        <f t="shared" si="9"/>
        <v/>
      </c>
      <c r="B202" s="567"/>
      <c r="C202" s="568"/>
      <c r="D202" s="576"/>
      <c r="E202" s="573"/>
      <c r="F202" s="570"/>
      <c r="G202" s="575"/>
      <c r="H202" s="574"/>
      <c r="I202" s="572"/>
      <c r="J202" s="574"/>
      <c r="K202" s="572"/>
      <c r="L202" s="572"/>
      <c r="M202" s="572"/>
      <c r="N202" s="578" t="str">
        <f t="shared" si="8"/>
        <v/>
      </c>
    </row>
    <row r="203" spans="1:14" ht="19.5" customHeight="1">
      <c r="A203" s="560" t="str">
        <f t="shared" si="9"/>
        <v/>
      </c>
      <c r="B203" s="567"/>
      <c r="C203" s="568"/>
      <c r="D203" s="576"/>
      <c r="E203" s="573"/>
      <c r="F203" s="570"/>
      <c r="G203" s="575"/>
      <c r="H203" s="574"/>
      <c r="I203" s="572"/>
      <c r="J203" s="574"/>
      <c r="K203" s="572"/>
      <c r="L203" s="572"/>
      <c r="M203" s="572"/>
      <c r="N203" s="578" t="str">
        <f t="shared" si="8"/>
        <v/>
      </c>
    </row>
    <row r="204" spans="1:14" ht="19.5" customHeight="1">
      <c r="A204" s="560" t="str">
        <f t="shared" si="9"/>
        <v/>
      </c>
      <c r="B204" s="567"/>
      <c r="C204" s="568"/>
      <c r="D204" s="576"/>
      <c r="E204" s="573"/>
      <c r="F204" s="570"/>
      <c r="G204" s="575"/>
      <c r="H204" s="574"/>
      <c r="I204" s="572"/>
      <c r="J204" s="574"/>
      <c r="K204" s="572"/>
      <c r="L204" s="572"/>
      <c r="M204" s="572"/>
      <c r="N204" s="578" t="str">
        <f t="shared" si="8"/>
        <v/>
      </c>
    </row>
    <row r="205" spans="1:14" ht="19.5" customHeight="1">
      <c r="A205" s="560" t="str">
        <f t="shared" si="9"/>
        <v/>
      </c>
      <c r="B205" s="567"/>
      <c r="C205" s="568"/>
      <c r="D205" s="576"/>
      <c r="E205" s="573"/>
      <c r="F205" s="570"/>
      <c r="G205" s="575"/>
      <c r="H205" s="574"/>
      <c r="I205" s="572"/>
      <c r="J205" s="574"/>
      <c r="K205" s="572"/>
      <c r="L205" s="572"/>
      <c r="M205" s="572"/>
      <c r="N205" s="578" t="str">
        <f t="shared" si="8"/>
        <v/>
      </c>
    </row>
    <row r="206" spans="1:14" ht="19.5" customHeight="1">
      <c r="A206" s="560" t="str">
        <f t="shared" si="9"/>
        <v/>
      </c>
      <c r="B206" s="567"/>
      <c r="C206" s="568"/>
      <c r="D206" s="576"/>
      <c r="E206" s="573"/>
      <c r="F206" s="570"/>
      <c r="G206" s="575"/>
      <c r="H206" s="574"/>
      <c r="I206" s="572"/>
      <c r="J206" s="574"/>
      <c r="K206" s="572"/>
      <c r="L206" s="572"/>
      <c r="M206" s="572"/>
      <c r="N206" s="578" t="str">
        <f t="shared" si="8"/>
        <v/>
      </c>
    </row>
    <row r="207" spans="1:14" ht="19.5" customHeight="1">
      <c r="A207" s="560" t="str">
        <f t="shared" si="9"/>
        <v/>
      </c>
      <c r="B207" s="567"/>
      <c r="C207" s="568"/>
      <c r="D207" s="576"/>
      <c r="E207" s="573"/>
      <c r="F207" s="570"/>
      <c r="G207" s="575"/>
      <c r="H207" s="574"/>
      <c r="I207" s="572"/>
      <c r="J207" s="574"/>
      <c r="K207" s="572"/>
      <c r="L207" s="572"/>
      <c r="M207" s="572"/>
      <c r="N207" s="578" t="str">
        <f t="shared" si="8"/>
        <v/>
      </c>
    </row>
    <row r="208" spans="1:14" ht="19.5" customHeight="1">
      <c r="A208" s="560" t="str">
        <f t="shared" si="9"/>
        <v/>
      </c>
      <c r="B208" s="567"/>
      <c r="C208" s="568"/>
      <c r="D208" s="576"/>
      <c r="E208" s="573"/>
      <c r="F208" s="570"/>
      <c r="G208" s="575"/>
      <c r="H208" s="574"/>
      <c r="I208" s="572"/>
      <c r="J208" s="574"/>
      <c r="K208" s="572"/>
      <c r="L208" s="572"/>
      <c r="M208" s="572"/>
      <c r="N208" s="578" t="str">
        <f t="shared" si="8"/>
        <v/>
      </c>
    </row>
    <row r="209" spans="1:14" ht="19.5" customHeight="1">
      <c r="A209" s="560" t="str">
        <f t="shared" si="9"/>
        <v/>
      </c>
      <c r="B209" s="567"/>
      <c r="C209" s="568"/>
      <c r="D209" s="576"/>
      <c r="E209" s="573"/>
      <c r="F209" s="570"/>
      <c r="G209" s="575"/>
      <c r="H209" s="574"/>
      <c r="I209" s="572"/>
      <c r="J209" s="574"/>
      <c r="K209" s="572"/>
      <c r="L209" s="572"/>
      <c r="M209" s="572"/>
      <c r="N209" s="578" t="str">
        <f t="shared" si="8"/>
        <v/>
      </c>
    </row>
    <row r="210" spans="1:14" ht="19.5" customHeight="1">
      <c r="A210" s="560" t="str">
        <f t="shared" si="9"/>
        <v/>
      </c>
      <c r="B210" s="567"/>
      <c r="C210" s="568"/>
      <c r="D210" s="576"/>
      <c r="E210" s="573"/>
      <c r="F210" s="570"/>
      <c r="G210" s="575"/>
      <c r="H210" s="574"/>
      <c r="I210" s="572"/>
      <c r="J210" s="574"/>
      <c r="K210" s="572"/>
      <c r="L210" s="572"/>
      <c r="M210" s="572"/>
      <c r="N210" s="578" t="str">
        <f t="shared" si="8"/>
        <v/>
      </c>
    </row>
    <row r="211" spans="1:14" ht="19.5" customHeight="1">
      <c r="A211" s="560" t="str">
        <f t="shared" si="9"/>
        <v/>
      </c>
      <c r="B211" s="567"/>
      <c r="C211" s="568"/>
      <c r="D211" s="576"/>
      <c r="E211" s="573"/>
      <c r="F211" s="570"/>
      <c r="G211" s="575"/>
      <c r="H211" s="574"/>
      <c r="I211" s="572"/>
      <c r="J211" s="574"/>
      <c r="K211" s="572"/>
      <c r="L211" s="572"/>
      <c r="M211" s="572"/>
      <c r="N211" s="578" t="str">
        <f t="shared" si="8"/>
        <v/>
      </c>
    </row>
    <row r="212" spans="1:14" ht="19.5" customHeight="1">
      <c r="A212" s="560" t="str">
        <f t="shared" si="9"/>
        <v/>
      </c>
      <c r="B212" s="567"/>
      <c r="C212" s="568"/>
      <c r="D212" s="576"/>
      <c r="E212" s="573"/>
      <c r="F212" s="570"/>
      <c r="G212" s="575"/>
      <c r="H212" s="574"/>
      <c r="I212" s="572"/>
      <c r="J212" s="574"/>
      <c r="K212" s="572"/>
      <c r="L212" s="572"/>
      <c r="M212" s="572"/>
      <c r="N212" s="578" t="str">
        <f t="shared" si="8"/>
        <v/>
      </c>
    </row>
    <row r="213" spans="1:14" ht="19.5" customHeight="1">
      <c r="A213" s="560" t="str">
        <f t="shared" si="9"/>
        <v/>
      </c>
      <c r="B213" s="567"/>
      <c r="C213" s="568"/>
      <c r="D213" s="576"/>
      <c r="E213" s="573"/>
      <c r="F213" s="570"/>
      <c r="G213" s="575"/>
      <c r="H213" s="574"/>
      <c r="I213" s="572"/>
      <c r="J213" s="574"/>
      <c r="K213" s="572"/>
      <c r="L213" s="572"/>
      <c r="M213" s="572"/>
      <c r="N213" s="578" t="str">
        <f t="shared" si="8"/>
        <v/>
      </c>
    </row>
    <row r="214" spans="1:14" ht="19.5" customHeight="1">
      <c r="A214" s="560" t="str">
        <f t="shared" si="9"/>
        <v/>
      </c>
      <c r="B214" s="567"/>
      <c r="C214" s="568"/>
      <c r="D214" s="576"/>
      <c r="E214" s="573"/>
      <c r="F214" s="570"/>
      <c r="G214" s="575"/>
      <c r="H214" s="574"/>
      <c r="I214" s="572"/>
      <c r="J214" s="574"/>
      <c r="K214" s="572"/>
      <c r="L214" s="572"/>
      <c r="M214" s="572"/>
      <c r="N214" s="578" t="str">
        <f t="shared" si="8"/>
        <v/>
      </c>
    </row>
    <row r="215" spans="1:14" ht="19.5" customHeight="1">
      <c r="A215" s="560" t="str">
        <f t="shared" si="9"/>
        <v/>
      </c>
      <c r="B215" s="567"/>
      <c r="C215" s="568"/>
      <c r="D215" s="576"/>
      <c r="E215" s="573"/>
      <c r="F215" s="570"/>
      <c r="G215" s="575"/>
      <c r="H215" s="574"/>
      <c r="I215" s="572"/>
      <c r="J215" s="574"/>
      <c r="K215" s="572"/>
      <c r="L215" s="572"/>
      <c r="M215" s="572"/>
      <c r="N215" s="578" t="str">
        <f t="shared" si="8"/>
        <v/>
      </c>
    </row>
    <row r="216" spans="1:14" ht="19.5" customHeight="1">
      <c r="A216" s="560" t="str">
        <f t="shared" si="9"/>
        <v/>
      </c>
      <c r="B216" s="567"/>
      <c r="C216" s="568"/>
      <c r="D216" s="576"/>
      <c r="E216" s="573"/>
      <c r="F216" s="570"/>
      <c r="G216" s="575"/>
      <c r="H216" s="574"/>
      <c r="I216" s="572"/>
      <c r="J216" s="574"/>
      <c r="K216" s="572"/>
      <c r="L216" s="572"/>
      <c r="M216" s="572"/>
      <c r="N216" s="578" t="str">
        <f t="shared" si="8"/>
        <v/>
      </c>
    </row>
    <row r="217" spans="1:14" ht="19.5" customHeight="1">
      <c r="A217" s="560" t="str">
        <f t="shared" si="9"/>
        <v/>
      </c>
      <c r="B217" s="567"/>
      <c r="C217" s="568"/>
      <c r="D217" s="576"/>
      <c r="E217" s="573"/>
      <c r="F217" s="570"/>
      <c r="G217" s="575"/>
      <c r="H217" s="574"/>
      <c r="I217" s="572"/>
      <c r="J217" s="574"/>
      <c r="K217" s="572"/>
      <c r="L217" s="572"/>
      <c r="M217" s="572"/>
      <c r="N217" s="578" t="str">
        <f t="shared" si="8"/>
        <v/>
      </c>
    </row>
    <row r="218" spans="1:14" ht="19.5" customHeight="1">
      <c r="A218" s="560" t="str">
        <f t="shared" si="9"/>
        <v/>
      </c>
      <c r="B218" s="567"/>
      <c r="C218" s="568"/>
      <c r="D218" s="576"/>
      <c r="E218" s="573"/>
      <c r="F218" s="570"/>
      <c r="G218" s="575"/>
      <c r="H218" s="574"/>
      <c r="I218" s="572"/>
      <c r="J218" s="574"/>
      <c r="K218" s="572"/>
      <c r="L218" s="572"/>
      <c r="M218" s="572"/>
      <c r="N218" s="578" t="str">
        <f t="shared" si="8"/>
        <v/>
      </c>
    </row>
    <row r="219" spans="1:14" ht="19.5" customHeight="1">
      <c r="A219" s="560" t="str">
        <f t="shared" si="9"/>
        <v/>
      </c>
      <c r="B219" s="567"/>
      <c r="C219" s="568"/>
      <c r="D219" s="576"/>
      <c r="E219" s="573"/>
      <c r="F219" s="570"/>
      <c r="G219" s="575"/>
      <c r="H219" s="574"/>
      <c r="I219" s="572"/>
      <c r="J219" s="574"/>
      <c r="K219" s="572"/>
      <c r="L219" s="572"/>
      <c r="M219" s="572"/>
      <c r="N219" s="578" t="str">
        <f t="shared" si="8"/>
        <v/>
      </c>
    </row>
    <row r="220" spans="1:14" ht="19.5" customHeight="1">
      <c r="A220" s="560" t="str">
        <f t="shared" si="9"/>
        <v/>
      </c>
      <c r="B220" s="567"/>
      <c r="C220" s="568"/>
      <c r="D220" s="576"/>
      <c r="E220" s="573"/>
      <c r="F220" s="570"/>
      <c r="G220" s="575"/>
      <c r="H220" s="574"/>
      <c r="I220" s="572"/>
      <c r="J220" s="574"/>
      <c r="K220" s="572"/>
      <c r="L220" s="572"/>
      <c r="M220" s="572"/>
      <c r="N220" s="578" t="str">
        <f t="shared" si="8"/>
        <v/>
      </c>
    </row>
    <row r="221" spans="1:14" ht="19.5" customHeight="1">
      <c r="A221" s="560" t="str">
        <f t="shared" si="9"/>
        <v/>
      </c>
      <c r="B221" s="567"/>
      <c r="C221" s="568"/>
      <c r="D221" s="576"/>
      <c r="E221" s="573"/>
      <c r="F221" s="570"/>
      <c r="G221" s="575"/>
      <c r="H221" s="574"/>
      <c r="I221" s="572"/>
      <c r="J221" s="574"/>
      <c r="K221" s="572"/>
      <c r="L221" s="572"/>
      <c r="M221" s="572"/>
      <c r="N221" s="578" t="str">
        <f t="shared" si="8"/>
        <v/>
      </c>
    </row>
    <row r="222" spans="1:14" ht="19.5" customHeight="1">
      <c r="A222" s="560" t="str">
        <f t="shared" si="9"/>
        <v/>
      </c>
      <c r="B222" s="567"/>
      <c r="C222" s="568"/>
      <c r="D222" s="576"/>
      <c r="E222" s="573"/>
      <c r="F222" s="570"/>
      <c r="G222" s="575"/>
      <c r="H222" s="574"/>
      <c r="I222" s="572"/>
      <c r="J222" s="574"/>
      <c r="K222" s="572"/>
      <c r="L222" s="572"/>
      <c r="M222" s="572"/>
      <c r="N222" s="578" t="str">
        <f t="shared" si="8"/>
        <v/>
      </c>
    </row>
    <row r="223" spans="1:14" ht="19.5" customHeight="1">
      <c r="A223" s="560" t="str">
        <f t="shared" si="9"/>
        <v/>
      </c>
      <c r="B223" s="567"/>
      <c r="C223" s="568"/>
      <c r="D223" s="576"/>
      <c r="E223" s="573"/>
      <c r="F223" s="570"/>
      <c r="G223" s="575"/>
      <c r="H223" s="574"/>
      <c r="I223" s="572"/>
      <c r="J223" s="574"/>
      <c r="K223" s="572"/>
      <c r="L223" s="572"/>
      <c r="M223" s="572"/>
      <c r="N223" s="578" t="str">
        <f t="shared" si="8"/>
        <v/>
      </c>
    </row>
    <row r="224" spans="1:14" ht="19.5" customHeight="1">
      <c r="A224" s="560" t="str">
        <f t="shared" si="9"/>
        <v/>
      </c>
      <c r="B224" s="567"/>
      <c r="C224" s="568"/>
      <c r="D224" s="576"/>
      <c r="E224" s="573"/>
      <c r="F224" s="570"/>
      <c r="G224" s="575"/>
      <c r="H224" s="574"/>
      <c r="I224" s="572"/>
      <c r="J224" s="574"/>
      <c r="K224" s="572"/>
      <c r="L224" s="572"/>
      <c r="M224" s="572"/>
      <c r="N224" s="578" t="str">
        <f t="shared" si="8"/>
        <v/>
      </c>
    </row>
    <row r="225" spans="1:14" ht="19.5" customHeight="1">
      <c r="A225" s="560" t="str">
        <f t="shared" si="9"/>
        <v/>
      </c>
      <c r="B225" s="567"/>
      <c r="C225" s="568"/>
      <c r="D225" s="576"/>
      <c r="E225" s="573"/>
      <c r="F225" s="570"/>
      <c r="G225" s="575"/>
      <c r="H225" s="574"/>
      <c r="I225" s="572"/>
      <c r="J225" s="574"/>
      <c r="K225" s="572"/>
      <c r="L225" s="572"/>
      <c r="M225" s="572"/>
      <c r="N225" s="578" t="str">
        <f t="shared" si="8"/>
        <v/>
      </c>
    </row>
    <row r="226" spans="1:14" ht="19.5" customHeight="1">
      <c r="A226" s="560" t="str">
        <f t="shared" si="9"/>
        <v/>
      </c>
      <c r="B226" s="567"/>
      <c r="C226" s="568"/>
      <c r="D226" s="576"/>
      <c r="E226" s="573"/>
      <c r="F226" s="570"/>
      <c r="G226" s="575"/>
      <c r="H226" s="574"/>
      <c r="I226" s="572"/>
      <c r="J226" s="574"/>
      <c r="K226" s="572"/>
      <c r="L226" s="572"/>
      <c r="M226" s="572"/>
      <c r="N226" s="578" t="str">
        <f t="shared" si="8"/>
        <v/>
      </c>
    </row>
    <row r="227" spans="1:14" ht="19.5" customHeight="1">
      <c r="A227" s="560" t="str">
        <f t="shared" si="9"/>
        <v/>
      </c>
      <c r="B227" s="567"/>
      <c r="C227" s="568"/>
      <c r="D227" s="576"/>
      <c r="E227" s="573"/>
      <c r="F227" s="570"/>
      <c r="G227" s="575"/>
      <c r="H227" s="574"/>
      <c r="I227" s="572"/>
      <c r="J227" s="574"/>
      <c r="K227" s="572"/>
      <c r="L227" s="572"/>
      <c r="M227" s="572"/>
      <c r="N227" s="578" t="str">
        <f t="shared" si="8"/>
        <v/>
      </c>
    </row>
    <row r="228" spans="1:14" ht="19.5" customHeight="1">
      <c r="A228" s="560" t="str">
        <f t="shared" si="9"/>
        <v/>
      </c>
      <c r="B228" s="567"/>
      <c r="C228" s="568"/>
      <c r="D228" s="576"/>
      <c r="E228" s="573"/>
      <c r="F228" s="570"/>
      <c r="G228" s="575"/>
      <c r="H228" s="574"/>
      <c r="I228" s="572"/>
      <c r="J228" s="574"/>
      <c r="K228" s="572"/>
      <c r="L228" s="572"/>
      <c r="M228" s="572"/>
      <c r="N228" s="578" t="str">
        <f t="shared" si="8"/>
        <v/>
      </c>
    </row>
    <row r="229" spans="1:14" ht="19.5" customHeight="1">
      <c r="A229" s="560" t="str">
        <f t="shared" si="9"/>
        <v/>
      </c>
      <c r="B229" s="567"/>
      <c r="C229" s="568"/>
      <c r="D229" s="576"/>
      <c r="E229" s="573"/>
      <c r="F229" s="570"/>
      <c r="G229" s="575"/>
      <c r="H229" s="574"/>
      <c r="I229" s="572"/>
      <c r="J229" s="574"/>
      <c r="K229" s="572"/>
      <c r="L229" s="572"/>
      <c r="M229" s="572"/>
      <c r="N229" s="578" t="str">
        <f t="shared" si="8"/>
        <v/>
      </c>
    </row>
    <row r="230" spans="1:14" ht="19.5" customHeight="1">
      <c r="A230" s="560" t="str">
        <f t="shared" si="9"/>
        <v/>
      </c>
      <c r="B230" s="567"/>
      <c r="C230" s="568"/>
      <c r="D230" s="576"/>
      <c r="E230" s="573"/>
      <c r="F230" s="570"/>
      <c r="G230" s="575"/>
      <c r="H230" s="574"/>
      <c r="I230" s="572"/>
      <c r="J230" s="574"/>
      <c r="K230" s="572"/>
      <c r="L230" s="572"/>
      <c r="M230" s="572"/>
      <c r="N230" s="578" t="str">
        <f t="shared" si="8"/>
        <v/>
      </c>
    </row>
    <row r="231" spans="1:14" ht="19.5" customHeight="1">
      <c r="A231" s="560" t="str">
        <f t="shared" si="9"/>
        <v/>
      </c>
      <c r="B231" s="567"/>
      <c r="C231" s="568"/>
      <c r="D231" s="576"/>
      <c r="E231" s="573"/>
      <c r="F231" s="570"/>
      <c r="G231" s="575"/>
      <c r="H231" s="574"/>
      <c r="I231" s="572"/>
      <c r="J231" s="574"/>
      <c r="K231" s="572"/>
      <c r="L231" s="572"/>
      <c r="M231" s="572"/>
      <c r="N231" s="578" t="str">
        <f t="shared" si="8"/>
        <v/>
      </c>
    </row>
    <row r="232" spans="1:14" ht="19.5" customHeight="1">
      <c r="A232" s="560" t="str">
        <f t="shared" si="9"/>
        <v/>
      </c>
      <c r="B232" s="567"/>
      <c r="C232" s="568"/>
      <c r="D232" s="576"/>
      <c r="E232" s="573"/>
      <c r="F232" s="570"/>
      <c r="G232" s="575"/>
      <c r="H232" s="574"/>
      <c r="I232" s="572"/>
      <c r="J232" s="574"/>
      <c r="K232" s="572"/>
      <c r="L232" s="572"/>
      <c r="M232" s="572"/>
      <c r="N232" s="578" t="str">
        <f t="shared" si="8"/>
        <v/>
      </c>
    </row>
    <row r="233" spans="1:14" ht="19.5" customHeight="1">
      <c r="A233" s="560" t="str">
        <f t="shared" si="9"/>
        <v/>
      </c>
      <c r="B233" s="567"/>
      <c r="C233" s="568"/>
      <c r="D233" s="576"/>
      <c r="E233" s="573"/>
      <c r="F233" s="570"/>
      <c r="G233" s="575"/>
      <c r="H233" s="574"/>
      <c r="I233" s="572"/>
      <c r="J233" s="574"/>
      <c r="K233" s="572"/>
      <c r="L233" s="572"/>
      <c r="M233" s="572"/>
      <c r="N233" s="578" t="str">
        <f t="shared" si="8"/>
        <v/>
      </c>
    </row>
    <row r="234" spans="1:14" ht="19.5" customHeight="1">
      <c r="A234" s="560" t="str">
        <f t="shared" si="9"/>
        <v/>
      </c>
      <c r="B234" s="567"/>
      <c r="C234" s="568"/>
      <c r="D234" s="576"/>
      <c r="E234" s="573"/>
      <c r="F234" s="570"/>
      <c r="G234" s="575"/>
      <c r="H234" s="574"/>
      <c r="I234" s="572"/>
      <c r="J234" s="574"/>
      <c r="K234" s="572"/>
      <c r="L234" s="572"/>
      <c r="M234" s="572"/>
      <c r="N234" s="578" t="str">
        <f t="shared" si="8"/>
        <v/>
      </c>
    </row>
    <row r="235" spans="1:14" ht="19.5" customHeight="1">
      <c r="A235" s="560" t="str">
        <f t="shared" si="9"/>
        <v/>
      </c>
      <c r="B235" s="567"/>
      <c r="C235" s="568"/>
      <c r="D235" s="576"/>
      <c r="E235" s="573"/>
      <c r="F235" s="570"/>
      <c r="G235" s="575"/>
      <c r="H235" s="574"/>
      <c r="I235" s="572"/>
      <c r="J235" s="574"/>
      <c r="K235" s="572"/>
      <c r="L235" s="572"/>
      <c r="M235" s="572"/>
      <c r="N235" s="578" t="str">
        <f t="shared" si="8"/>
        <v/>
      </c>
    </row>
    <row r="236" spans="1:14" ht="19.5" customHeight="1">
      <c r="A236" s="560" t="str">
        <f t="shared" si="9"/>
        <v/>
      </c>
      <c r="B236" s="567"/>
      <c r="C236" s="568"/>
      <c r="D236" s="576"/>
      <c r="E236" s="573"/>
      <c r="F236" s="570"/>
      <c r="G236" s="575"/>
      <c r="H236" s="574"/>
      <c r="I236" s="572"/>
      <c r="J236" s="574"/>
      <c r="K236" s="572"/>
      <c r="L236" s="572"/>
      <c r="M236" s="572"/>
      <c r="N236" s="578" t="str">
        <f t="shared" si="8"/>
        <v/>
      </c>
    </row>
    <row r="237" spans="1:14" ht="19.5" customHeight="1">
      <c r="A237" s="560" t="str">
        <f t="shared" si="9"/>
        <v/>
      </c>
      <c r="B237" s="567"/>
      <c r="C237" s="568"/>
      <c r="D237" s="576"/>
      <c r="E237" s="573"/>
      <c r="F237" s="570"/>
      <c r="G237" s="575"/>
      <c r="H237" s="574"/>
      <c r="I237" s="572"/>
      <c r="J237" s="574"/>
      <c r="K237" s="572"/>
      <c r="L237" s="572"/>
      <c r="M237" s="572"/>
      <c r="N237" s="578" t="str">
        <f t="shared" si="8"/>
        <v/>
      </c>
    </row>
    <row r="238" spans="1:14" ht="19.5" customHeight="1">
      <c r="A238" s="560" t="str">
        <f t="shared" si="9"/>
        <v/>
      </c>
      <c r="B238" s="567"/>
      <c r="C238" s="568"/>
      <c r="D238" s="576"/>
      <c r="E238" s="573"/>
      <c r="F238" s="570"/>
      <c r="G238" s="575"/>
      <c r="H238" s="574"/>
      <c r="I238" s="572"/>
      <c r="J238" s="574"/>
      <c r="K238" s="572"/>
      <c r="L238" s="572"/>
      <c r="M238" s="572"/>
      <c r="N238" s="578" t="str">
        <f t="shared" ref="N238:N301" si="10">IF(A238&lt;&gt;"",HYPERLINK("#"&amp;A238&amp;"!A1","跳转"),"")</f>
        <v/>
      </c>
    </row>
    <row r="239" spans="1:14" ht="19.5" customHeight="1">
      <c r="A239" s="560" t="str">
        <f t="shared" si="9"/>
        <v/>
      </c>
      <c r="B239" s="567"/>
      <c r="C239" s="568"/>
      <c r="D239" s="576"/>
      <c r="E239" s="573"/>
      <c r="F239" s="570"/>
      <c r="G239" s="575"/>
      <c r="H239" s="574"/>
      <c r="I239" s="572"/>
      <c r="J239" s="574"/>
      <c r="K239" s="572"/>
      <c r="L239" s="572"/>
      <c r="M239" s="572"/>
      <c r="N239" s="578" t="str">
        <f t="shared" si="10"/>
        <v/>
      </c>
    </row>
    <row r="240" spans="1:14" ht="19.5" customHeight="1">
      <c r="A240" s="560" t="str">
        <f t="shared" si="9"/>
        <v/>
      </c>
      <c r="B240" s="567"/>
      <c r="C240" s="568"/>
      <c r="D240" s="576"/>
      <c r="E240" s="573"/>
      <c r="F240" s="570"/>
      <c r="G240" s="575"/>
      <c r="H240" s="574"/>
      <c r="I240" s="572"/>
      <c r="J240" s="574"/>
      <c r="K240" s="572"/>
      <c r="L240" s="572"/>
      <c r="M240" s="572"/>
      <c r="N240" s="578" t="str">
        <f t="shared" si="10"/>
        <v/>
      </c>
    </row>
    <row r="241" spans="1:14" ht="19.5" customHeight="1">
      <c r="A241" s="560" t="str">
        <f t="shared" si="9"/>
        <v/>
      </c>
      <c r="B241" s="567"/>
      <c r="C241" s="568"/>
      <c r="D241" s="576"/>
      <c r="E241" s="573"/>
      <c r="F241" s="570"/>
      <c r="G241" s="575"/>
      <c r="H241" s="574"/>
      <c r="I241" s="572"/>
      <c r="J241" s="574"/>
      <c r="K241" s="572"/>
      <c r="L241" s="572"/>
      <c r="M241" s="572"/>
      <c r="N241" s="578" t="str">
        <f t="shared" si="10"/>
        <v/>
      </c>
    </row>
    <row r="242" spans="1:14" ht="19.5" customHeight="1">
      <c r="A242" s="560" t="str">
        <f t="shared" si="9"/>
        <v/>
      </c>
      <c r="B242" s="567"/>
      <c r="C242" s="568"/>
      <c r="D242" s="576"/>
      <c r="E242" s="573"/>
      <c r="F242" s="570"/>
      <c r="G242" s="575"/>
      <c r="H242" s="574"/>
      <c r="I242" s="572"/>
      <c r="J242" s="574"/>
      <c r="K242" s="572"/>
      <c r="L242" s="572"/>
      <c r="M242" s="572"/>
      <c r="N242" s="578" t="str">
        <f t="shared" si="10"/>
        <v/>
      </c>
    </row>
    <row r="243" spans="1:14" ht="19.5" customHeight="1">
      <c r="A243" s="560" t="str">
        <f t="shared" si="9"/>
        <v/>
      </c>
      <c r="B243" s="567"/>
      <c r="C243" s="568"/>
      <c r="D243" s="576"/>
      <c r="E243" s="573"/>
      <c r="F243" s="570"/>
      <c r="G243" s="575"/>
      <c r="H243" s="574"/>
      <c r="I243" s="572"/>
      <c r="J243" s="574"/>
      <c r="K243" s="572"/>
      <c r="L243" s="572"/>
      <c r="M243" s="572"/>
      <c r="N243" s="578" t="str">
        <f t="shared" si="10"/>
        <v/>
      </c>
    </row>
    <row r="244" spans="1:14" ht="19.5" customHeight="1">
      <c r="A244" s="560" t="str">
        <f t="shared" si="9"/>
        <v/>
      </c>
      <c r="B244" s="567"/>
      <c r="C244" s="568"/>
      <c r="D244" s="576"/>
      <c r="E244" s="573"/>
      <c r="F244" s="570"/>
      <c r="G244" s="575"/>
      <c r="H244" s="574"/>
      <c r="I244" s="572"/>
      <c r="J244" s="574"/>
      <c r="K244" s="572"/>
      <c r="L244" s="572"/>
      <c r="M244" s="572"/>
      <c r="N244" s="578" t="str">
        <f t="shared" si="10"/>
        <v/>
      </c>
    </row>
    <row r="245" spans="1:14" ht="19.5" customHeight="1">
      <c r="A245" s="560" t="str">
        <f t="shared" si="9"/>
        <v/>
      </c>
      <c r="B245" s="567"/>
      <c r="C245" s="568"/>
      <c r="D245" s="576"/>
      <c r="E245" s="573"/>
      <c r="F245" s="570"/>
      <c r="G245" s="575"/>
      <c r="H245" s="574"/>
      <c r="I245" s="572"/>
      <c r="J245" s="574"/>
      <c r="K245" s="572"/>
      <c r="L245" s="572"/>
      <c r="M245" s="572"/>
      <c r="N245" s="578" t="str">
        <f t="shared" si="10"/>
        <v/>
      </c>
    </row>
    <row r="246" spans="1:14" ht="19.5" customHeight="1">
      <c r="A246" s="560" t="str">
        <f t="shared" ref="A246:A309" si="11">IF(C246&lt;&gt;"",ROW(C246)-1,"")</f>
        <v/>
      </c>
      <c r="B246" s="567"/>
      <c r="C246" s="568"/>
      <c r="D246" s="576"/>
      <c r="E246" s="573"/>
      <c r="F246" s="570"/>
      <c r="G246" s="575"/>
      <c r="H246" s="574"/>
      <c r="I246" s="572"/>
      <c r="J246" s="574"/>
      <c r="K246" s="572"/>
      <c r="L246" s="572"/>
      <c r="M246" s="572"/>
      <c r="N246" s="578" t="str">
        <f t="shared" si="10"/>
        <v/>
      </c>
    </row>
    <row r="247" spans="1:14" ht="19.5" customHeight="1">
      <c r="A247" s="560" t="str">
        <f t="shared" si="11"/>
        <v/>
      </c>
      <c r="B247" s="567"/>
      <c r="C247" s="568"/>
      <c r="D247" s="576"/>
      <c r="E247" s="573"/>
      <c r="F247" s="570"/>
      <c r="G247" s="575"/>
      <c r="H247" s="574"/>
      <c r="I247" s="572"/>
      <c r="J247" s="574"/>
      <c r="K247" s="572"/>
      <c r="L247" s="572"/>
      <c r="M247" s="572"/>
      <c r="N247" s="578" t="str">
        <f t="shared" si="10"/>
        <v/>
      </c>
    </row>
    <row r="248" spans="1:14" ht="19.5" customHeight="1">
      <c r="A248" s="560" t="str">
        <f t="shared" si="11"/>
        <v/>
      </c>
      <c r="B248" s="567"/>
      <c r="C248" s="568"/>
      <c r="D248" s="576"/>
      <c r="E248" s="573"/>
      <c r="F248" s="570"/>
      <c r="G248" s="575"/>
      <c r="H248" s="574"/>
      <c r="I248" s="572"/>
      <c r="J248" s="574"/>
      <c r="K248" s="572"/>
      <c r="L248" s="572"/>
      <c r="M248" s="572"/>
      <c r="N248" s="578" t="str">
        <f t="shared" si="10"/>
        <v/>
      </c>
    </row>
    <row r="249" spans="1:14" ht="19.5" customHeight="1">
      <c r="A249" s="560" t="str">
        <f t="shared" si="11"/>
        <v/>
      </c>
      <c r="B249" s="567"/>
      <c r="C249" s="568"/>
      <c r="D249" s="576"/>
      <c r="E249" s="573"/>
      <c r="F249" s="570"/>
      <c r="G249" s="575"/>
      <c r="H249" s="574"/>
      <c r="I249" s="572"/>
      <c r="J249" s="574"/>
      <c r="K249" s="572"/>
      <c r="L249" s="572"/>
      <c r="M249" s="572"/>
      <c r="N249" s="578" t="str">
        <f t="shared" si="10"/>
        <v/>
      </c>
    </row>
    <row r="250" spans="1:14" ht="19.5" customHeight="1">
      <c r="A250" s="560" t="str">
        <f t="shared" si="11"/>
        <v/>
      </c>
      <c r="B250" s="567"/>
      <c r="C250" s="568"/>
      <c r="D250" s="576"/>
      <c r="E250" s="573"/>
      <c r="F250" s="570"/>
      <c r="G250" s="575"/>
      <c r="H250" s="574"/>
      <c r="I250" s="572"/>
      <c r="J250" s="574"/>
      <c r="K250" s="572"/>
      <c r="L250" s="572"/>
      <c r="M250" s="572"/>
      <c r="N250" s="578" t="str">
        <f t="shared" si="10"/>
        <v/>
      </c>
    </row>
    <row r="251" spans="1:14" ht="19.5" customHeight="1">
      <c r="A251" s="560" t="str">
        <f t="shared" si="11"/>
        <v/>
      </c>
      <c r="B251" s="567"/>
      <c r="C251" s="568"/>
      <c r="D251" s="576"/>
      <c r="E251" s="573"/>
      <c r="F251" s="570"/>
      <c r="G251" s="575"/>
      <c r="H251" s="574"/>
      <c r="I251" s="572"/>
      <c r="J251" s="574"/>
      <c r="K251" s="572"/>
      <c r="L251" s="572"/>
      <c r="M251" s="572"/>
      <c r="N251" s="578" t="str">
        <f t="shared" si="10"/>
        <v/>
      </c>
    </row>
    <row r="252" spans="1:14" ht="19.5" customHeight="1">
      <c r="A252" s="560" t="str">
        <f t="shared" si="11"/>
        <v/>
      </c>
      <c r="B252" s="567"/>
      <c r="C252" s="568"/>
      <c r="D252" s="576"/>
      <c r="E252" s="573"/>
      <c r="F252" s="570"/>
      <c r="G252" s="575"/>
      <c r="H252" s="574"/>
      <c r="I252" s="572"/>
      <c r="J252" s="574"/>
      <c r="K252" s="572"/>
      <c r="L252" s="572"/>
      <c r="M252" s="572"/>
      <c r="N252" s="578" t="str">
        <f t="shared" si="10"/>
        <v/>
      </c>
    </row>
    <row r="253" spans="1:14" ht="19.5" customHeight="1">
      <c r="A253" s="560" t="str">
        <f t="shared" si="11"/>
        <v/>
      </c>
      <c r="B253" s="567"/>
      <c r="C253" s="568"/>
      <c r="D253" s="576"/>
      <c r="E253" s="573"/>
      <c r="F253" s="570"/>
      <c r="G253" s="575"/>
      <c r="H253" s="574"/>
      <c r="I253" s="572"/>
      <c r="J253" s="574"/>
      <c r="K253" s="572"/>
      <c r="L253" s="572"/>
      <c r="M253" s="572"/>
      <c r="N253" s="578" t="str">
        <f t="shared" si="10"/>
        <v/>
      </c>
    </row>
    <row r="254" spans="1:14" ht="19.5" customHeight="1">
      <c r="A254" s="560" t="str">
        <f t="shared" si="11"/>
        <v/>
      </c>
      <c r="B254" s="567"/>
      <c r="C254" s="568"/>
      <c r="D254" s="576"/>
      <c r="E254" s="573"/>
      <c r="F254" s="570"/>
      <c r="G254" s="575"/>
      <c r="H254" s="574"/>
      <c r="I254" s="572"/>
      <c r="J254" s="574"/>
      <c r="K254" s="572"/>
      <c r="L254" s="572"/>
      <c r="M254" s="572"/>
      <c r="N254" s="578" t="str">
        <f t="shared" si="10"/>
        <v/>
      </c>
    </row>
    <row r="255" spans="1:14" ht="19.5" customHeight="1">
      <c r="A255" s="560" t="str">
        <f t="shared" si="11"/>
        <v/>
      </c>
      <c r="B255" s="567"/>
      <c r="C255" s="568"/>
      <c r="D255" s="576"/>
      <c r="E255" s="573"/>
      <c r="F255" s="570"/>
      <c r="G255" s="575"/>
      <c r="H255" s="574"/>
      <c r="I255" s="572"/>
      <c r="J255" s="574"/>
      <c r="K255" s="572"/>
      <c r="L255" s="572"/>
      <c r="M255" s="572"/>
      <c r="N255" s="578" t="str">
        <f t="shared" si="10"/>
        <v/>
      </c>
    </row>
    <row r="256" spans="1:14" ht="19.5" customHeight="1">
      <c r="A256" s="560" t="str">
        <f t="shared" si="11"/>
        <v/>
      </c>
      <c r="B256" s="567"/>
      <c r="C256" s="568"/>
      <c r="D256" s="576"/>
      <c r="E256" s="573"/>
      <c r="F256" s="570"/>
      <c r="G256" s="575"/>
      <c r="H256" s="574"/>
      <c r="I256" s="572"/>
      <c r="J256" s="574"/>
      <c r="K256" s="572"/>
      <c r="L256" s="572"/>
      <c r="M256" s="572"/>
      <c r="N256" s="578" t="str">
        <f t="shared" si="10"/>
        <v/>
      </c>
    </row>
    <row r="257" spans="1:14" ht="19.5" customHeight="1">
      <c r="A257" s="560" t="str">
        <f t="shared" si="11"/>
        <v/>
      </c>
      <c r="B257" s="567"/>
      <c r="C257" s="568"/>
      <c r="D257" s="576"/>
      <c r="E257" s="573"/>
      <c r="F257" s="570"/>
      <c r="G257" s="575"/>
      <c r="H257" s="574"/>
      <c r="I257" s="572"/>
      <c r="J257" s="574"/>
      <c r="K257" s="572"/>
      <c r="L257" s="572"/>
      <c r="M257" s="572"/>
      <c r="N257" s="578" t="str">
        <f t="shared" si="10"/>
        <v/>
      </c>
    </row>
    <row r="258" spans="1:14" ht="19.5" customHeight="1">
      <c r="A258" s="560" t="str">
        <f t="shared" si="11"/>
        <v/>
      </c>
      <c r="B258" s="567"/>
      <c r="C258" s="568"/>
      <c r="D258" s="576"/>
      <c r="E258" s="573"/>
      <c r="F258" s="570"/>
      <c r="G258" s="575"/>
      <c r="H258" s="574"/>
      <c r="I258" s="572"/>
      <c r="J258" s="574"/>
      <c r="K258" s="572"/>
      <c r="L258" s="572"/>
      <c r="M258" s="572"/>
      <c r="N258" s="578" t="str">
        <f t="shared" si="10"/>
        <v/>
      </c>
    </row>
    <row r="259" spans="1:14" ht="19.5" customHeight="1">
      <c r="A259" s="560" t="str">
        <f t="shared" si="11"/>
        <v/>
      </c>
      <c r="B259" s="567"/>
      <c r="C259" s="568"/>
      <c r="D259" s="576"/>
      <c r="E259" s="573"/>
      <c r="F259" s="570"/>
      <c r="G259" s="575"/>
      <c r="H259" s="574"/>
      <c r="I259" s="572"/>
      <c r="J259" s="574"/>
      <c r="K259" s="572"/>
      <c r="L259" s="572"/>
      <c r="M259" s="572"/>
      <c r="N259" s="578" t="str">
        <f t="shared" si="10"/>
        <v/>
      </c>
    </row>
    <row r="260" spans="1:14" ht="19.5" customHeight="1">
      <c r="A260" s="560" t="str">
        <f t="shared" si="11"/>
        <v/>
      </c>
      <c r="B260" s="567"/>
      <c r="C260" s="568"/>
      <c r="D260" s="576"/>
      <c r="E260" s="573"/>
      <c r="F260" s="570"/>
      <c r="G260" s="575"/>
      <c r="H260" s="574"/>
      <c r="I260" s="572"/>
      <c r="J260" s="574"/>
      <c r="K260" s="572"/>
      <c r="L260" s="572"/>
      <c r="M260" s="572"/>
      <c r="N260" s="578" t="str">
        <f t="shared" si="10"/>
        <v/>
      </c>
    </row>
    <row r="261" spans="1:14" ht="19.5" customHeight="1">
      <c r="A261" s="560" t="str">
        <f t="shared" si="11"/>
        <v/>
      </c>
      <c r="B261" s="567"/>
      <c r="C261" s="568"/>
      <c r="D261" s="576"/>
      <c r="E261" s="573"/>
      <c r="F261" s="570"/>
      <c r="G261" s="575"/>
      <c r="H261" s="574"/>
      <c r="I261" s="572"/>
      <c r="J261" s="574"/>
      <c r="K261" s="572"/>
      <c r="L261" s="572"/>
      <c r="M261" s="572"/>
      <c r="N261" s="578" t="str">
        <f t="shared" si="10"/>
        <v/>
      </c>
    </row>
    <row r="262" spans="1:14" ht="19.5" customHeight="1">
      <c r="A262" s="560" t="str">
        <f t="shared" si="11"/>
        <v/>
      </c>
      <c r="B262" s="567"/>
      <c r="C262" s="568"/>
      <c r="D262" s="576"/>
      <c r="E262" s="573"/>
      <c r="F262" s="570"/>
      <c r="G262" s="575"/>
      <c r="H262" s="574"/>
      <c r="I262" s="572"/>
      <c r="J262" s="574"/>
      <c r="K262" s="572"/>
      <c r="L262" s="572"/>
      <c r="M262" s="572"/>
      <c r="N262" s="578" t="str">
        <f t="shared" si="10"/>
        <v/>
      </c>
    </row>
    <row r="263" spans="1:14" ht="19.5" customHeight="1">
      <c r="A263" s="560" t="str">
        <f t="shared" si="11"/>
        <v/>
      </c>
      <c r="B263" s="567"/>
      <c r="C263" s="568"/>
      <c r="D263" s="576"/>
      <c r="E263" s="573"/>
      <c r="F263" s="570"/>
      <c r="G263" s="575"/>
      <c r="H263" s="574"/>
      <c r="I263" s="572"/>
      <c r="J263" s="574"/>
      <c r="K263" s="572"/>
      <c r="L263" s="572"/>
      <c r="M263" s="572"/>
      <c r="N263" s="578" t="str">
        <f t="shared" si="10"/>
        <v/>
      </c>
    </row>
    <row r="264" spans="1:14" ht="19.5" customHeight="1">
      <c r="A264" s="560" t="str">
        <f t="shared" si="11"/>
        <v/>
      </c>
      <c r="B264" s="567"/>
      <c r="C264" s="568"/>
      <c r="D264" s="576"/>
      <c r="E264" s="573"/>
      <c r="F264" s="570"/>
      <c r="G264" s="575"/>
      <c r="H264" s="574"/>
      <c r="I264" s="572"/>
      <c r="J264" s="574"/>
      <c r="K264" s="572"/>
      <c r="L264" s="572"/>
      <c r="M264" s="572"/>
      <c r="N264" s="578" t="str">
        <f t="shared" si="10"/>
        <v/>
      </c>
    </row>
    <row r="265" spans="1:14" ht="19.5" customHeight="1">
      <c r="A265" s="560" t="str">
        <f t="shared" si="11"/>
        <v/>
      </c>
      <c r="B265" s="567"/>
      <c r="C265" s="568"/>
      <c r="D265" s="576"/>
      <c r="E265" s="573"/>
      <c r="F265" s="570"/>
      <c r="G265" s="575"/>
      <c r="H265" s="574"/>
      <c r="I265" s="572"/>
      <c r="J265" s="574"/>
      <c r="K265" s="572"/>
      <c r="L265" s="572"/>
      <c r="M265" s="572"/>
      <c r="N265" s="578" t="str">
        <f t="shared" si="10"/>
        <v/>
      </c>
    </row>
    <row r="266" spans="1:14" ht="19.5" customHeight="1">
      <c r="A266" s="560" t="str">
        <f t="shared" si="11"/>
        <v/>
      </c>
      <c r="B266" s="567"/>
      <c r="C266" s="568"/>
      <c r="D266" s="576"/>
      <c r="E266" s="573"/>
      <c r="F266" s="570"/>
      <c r="G266" s="575"/>
      <c r="H266" s="574"/>
      <c r="I266" s="572"/>
      <c r="J266" s="574"/>
      <c r="K266" s="572"/>
      <c r="L266" s="572"/>
      <c r="M266" s="572"/>
      <c r="N266" s="578" t="str">
        <f t="shared" si="10"/>
        <v/>
      </c>
    </row>
    <row r="267" spans="1:14" ht="19.5" customHeight="1">
      <c r="A267" s="560" t="str">
        <f t="shared" si="11"/>
        <v/>
      </c>
      <c r="B267" s="567"/>
      <c r="C267" s="568"/>
      <c r="D267" s="576"/>
      <c r="E267" s="573"/>
      <c r="F267" s="570"/>
      <c r="G267" s="575"/>
      <c r="H267" s="574"/>
      <c r="I267" s="572"/>
      <c r="J267" s="574"/>
      <c r="K267" s="572"/>
      <c r="L267" s="572"/>
      <c r="M267" s="572"/>
      <c r="N267" s="578" t="str">
        <f t="shared" si="10"/>
        <v/>
      </c>
    </row>
    <row r="268" spans="1:14" ht="19.5" customHeight="1">
      <c r="A268" s="560" t="str">
        <f t="shared" si="11"/>
        <v/>
      </c>
      <c r="B268" s="567"/>
      <c r="C268" s="568"/>
      <c r="D268" s="576"/>
      <c r="E268" s="573"/>
      <c r="F268" s="570"/>
      <c r="G268" s="575"/>
      <c r="H268" s="574"/>
      <c r="I268" s="572"/>
      <c r="J268" s="574"/>
      <c r="K268" s="572"/>
      <c r="L268" s="572"/>
      <c r="M268" s="572"/>
      <c r="N268" s="578" t="str">
        <f t="shared" si="10"/>
        <v/>
      </c>
    </row>
    <row r="269" spans="1:14" ht="19.5" customHeight="1">
      <c r="A269" s="560" t="str">
        <f t="shared" si="11"/>
        <v/>
      </c>
      <c r="B269" s="567"/>
      <c r="C269" s="568"/>
      <c r="D269" s="576"/>
      <c r="E269" s="573"/>
      <c r="F269" s="570"/>
      <c r="G269" s="575"/>
      <c r="H269" s="574"/>
      <c r="I269" s="572"/>
      <c r="J269" s="574"/>
      <c r="K269" s="572"/>
      <c r="L269" s="572"/>
      <c r="M269" s="572"/>
      <c r="N269" s="578" t="str">
        <f t="shared" si="10"/>
        <v/>
      </c>
    </row>
    <row r="270" spans="1:14" ht="19.5" customHeight="1">
      <c r="A270" s="560" t="str">
        <f t="shared" si="11"/>
        <v/>
      </c>
      <c r="B270" s="567"/>
      <c r="C270" s="568"/>
      <c r="D270" s="576"/>
      <c r="E270" s="573"/>
      <c r="F270" s="570"/>
      <c r="G270" s="575"/>
      <c r="H270" s="574"/>
      <c r="I270" s="572"/>
      <c r="J270" s="574"/>
      <c r="K270" s="572"/>
      <c r="L270" s="572"/>
      <c r="M270" s="572"/>
      <c r="N270" s="578" t="str">
        <f t="shared" si="10"/>
        <v/>
      </c>
    </row>
    <row r="271" spans="1:14" ht="19.5" customHeight="1">
      <c r="A271" s="560" t="str">
        <f t="shared" si="11"/>
        <v/>
      </c>
      <c r="B271" s="567"/>
      <c r="C271" s="568"/>
      <c r="D271" s="576"/>
      <c r="E271" s="573"/>
      <c r="F271" s="570"/>
      <c r="G271" s="575"/>
      <c r="H271" s="574"/>
      <c r="I271" s="572"/>
      <c r="J271" s="574"/>
      <c r="K271" s="572"/>
      <c r="L271" s="572"/>
      <c r="M271" s="572"/>
      <c r="N271" s="578" t="str">
        <f t="shared" si="10"/>
        <v/>
      </c>
    </row>
    <row r="272" spans="1:14" ht="19.5" customHeight="1">
      <c r="A272" s="560" t="str">
        <f t="shared" si="11"/>
        <v/>
      </c>
      <c r="B272" s="567"/>
      <c r="C272" s="568"/>
      <c r="D272" s="576"/>
      <c r="E272" s="573"/>
      <c r="F272" s="570"/>
      <c r="G272" s="575"/>
      <c r="H272" s="574"/>
      <c r="I272" s="572"/>
      <c r="J272" s="574"/>
      <c r="K272" s="572"/>
      <c r="L272" s="572"/>
      <c r="M272" s="572"/>
      <c r="N272" s="578" t="str">
        <f t="shared" si="10"/>
        <v/>
      </c>
    </row>
    <row r="273" spans="1:14" ht="19.5" customHeight="1">
      <c r="A273" s="560" t="str">
        <f t="shared" si="11"/>
        <v/>
      </c>
      <c r="B273" s="567"/>
      <c r="C273" s="568"/>
      <c r="D273" s="576"/>
      <c r="E273" s="573"/>
      <c r="F273" s="570"/>
      <c r="G273" s="575"/>
      <c r="H273" s="574"/>
      <c r="I273" s="572"/>
      <c r="J273" s="574"/>
      <c r="K273" s="572"/>
      <c r="L273" s="572"/>
      <c r="M273" s="572"/>
      <c r="N273" s="578" t="str">
        <f t="shared" si="10"/>
        <v/>
      </c>
    </row>
    <row r="274" spans="1:14" ht="19.5" customHeight="1">
      <c r="A274" s="560" t="str">
        <f t="shared" si="11"/>
        <v/>
      </c>
      <c r="B274" s="567"/>
      <c r="C274" s="568"/>
      <c r="D274" s="576"/>
      <c r="E274" s="573"/>
      <c r="F274" s="570"/>
      <c r="G274" s="575"/>
      <c r="H274" s="574"/>
      <c r="I274" s="572"/>
      <c r="J274" s="574"/>
      <c r="K274" s="572"/>
      <c r="L274" s="572"/>
      <c r="M274" s="572"/>
      <c r="N274" s="578" t="str">
        <f t="shared" si="10"/>
        <v/>
      </c>
    </row>
    <row r="275" spans="1:14" ht="19.5" customHeight="1">
      <c r="A275" s="560" t="str">
        <f t="shared" si="11"/>
        <v/>
      </c>
      <c r="B275" s="567"/>
      <c r="C275" s="568"/>
      <c r="D275" s="576"/>
      <c r="E275" s="573"/>
      <c r="F275" s="570"/>
      <c r="G275" s="575"/>
      <c r="H275" s="574"/>
      <c r="I275" s="572"/>
      <c r="J275" s="574"/>
      <c r="K275" s="572"/>
      <c r="L275" s="572"/>
      <c r="M275" s="572"/>
      <c r="N275" s="578" t="str">
        <f t="shared" si="10"/>
        <v/>
      </c>
    </row>
    <row r="276" spans="1:14" ht="19.5" customHeight="1">
      <c r="A276" s="560" t="str">
        <f t="shared" si="11"/>
        <v/>
      </c>
      <c r="B276" s="567"/>
      <c r="C276" s="568"/>
      <c r="D276" s="576"/>
      <c r="E276" s="573"/>
      <c r="F276" s="570"/>
      <c r="G276" s="575"/>
      <c r="H276" s="574"/>
      <c r="I276" s="572"/>
      <c r="J276" s="574"/>
      <c r="K276" s="572"/>
      <c r="L276" s="572"/>
      <c r="M276" s="572"/>
      <c r="N276" s="578" t="str">
        <f t="shared" si="10"/>
        <v/>
      </c>
    </row>
    <row r="277" spans="1:14" ht="19.5" customHeight="1">
      <c r="A277" s="560" t="str">
        <f t="shared" si="11"/>
        <v/>
      </c>
      <c r="B277" s="567"/>
      <c r="C277" s="568"/>
      <c r="D277" s="576"/>
      <c r="E277" s="573"/>
      <c r="F277" s="570"/>
      <c r="G277" s="575"/>
      <c r="H277" s="574"/>
      <c r="I277" s="572"/>
      <c r="J277" s="574"/>
      <c r="K277" s="572"/>
      <c r="L277" s="572"/>
      <c r="M277" s="572"/>
      <c r="N277" s="578" t="str">
        <f t="shared" si="10"/>
        <v/>
      </c>
    </row>
    <row r="278" spans="1:14" ht="19.5" customHeight="1">
      <c r="A278" s="560" t="str">
        <f t="shared" si="11"/>
        <v/>
      </c>
      <c r="B278" s="567"/>
      <c r="C278" s="568"/>
      <c r="D278" s="576"/>
      <c r="E278" s="573"/>
      <c r="F278" s="570"/>
      <c r="G278" s="575"/>
      <c r="H278" s="574"/>
      <c r="I278" s="572"/>
      <c r="J278" s="574"/>
      <c r="K278" s="572"/>
      <c r="L278" s="572"/>
      <c r="M278" s="572"/>
      <c r="N278" s="578" t="str">
        <f t="shared" si="10"/>
        <v/>
      </c>
    </row>
    <row r="279" spans="1:14" ht="19.5" customHeight="1">
      <c r="A279" s="560" t="str">
        <f t="shared" si="11"/>
        <v/>
      </c>
      <c r="B279" s="567"/>
      <c r="C279" s="568"/>
      <c r="D279" s="576"/>
      <c r="E279" s="573"/>
      <c r="F279" s="570"/>
      <c r="G279" s="575"/>
      <c r="H279" s="574"/>
      <c r="I279" s="572"/>
      <c r="J279" s="574"/>
      <c r="K279" s="572"/>
      <c r="L279" s="572"/>
      <c r="M279" s="572"/>
      <c r="N279" s="578" t="str">
        <f t="shared" si="10"/>
        <v/>
      </c>
    </row>
    <row r="280" spans="1:14" ht="19.5" customHeight="1">
      <c r="A280" s="560" t="str">
        <f t="shared" si="11"/>
        <v/>
      </c>
      <c r="B280" s="567"/>
      <c r="C280" s="568"/>
      <c r="D280" s="576"/>
      <c r="E280" s="573"/>
      <c r="F280" s="570"/>
      <c r="G280" s="575"/>
      <c r="H280" s="574"/>
      <c r="I280" s="572"/>
      <c r="J280" s="574"/>
      <c r="K280" s="572"/>
      <c r="L280" s="572"/>
      <c r="M280" s="572"/>
      <c r="N280" s="578" t="str">
        <f t="shared" si="10"/>
        <v/>
      </c>
    </row>
    <row r="281" spans="1:14" ht="19.5" customHeight="1">
      <c r="A281" s="560" t="str">
        <f t="shared" si="11"/>
        <v/>
      </c>
      <c r="B281" s="567"/>
      <c r="C281" s="568"/>
      <c r="D281" s="576"/>
      <c r="E281" s="573"/>
      <c r="F281" s="570"/>
      <c r="G281" s="575"/>
      <c r="H281" s="574"/>
      <c r="I281" s="572"/>
      <c r="J281" s="574"/>
      <c r="K281" s="572"/>
      <c r="L281" s="572"/>
      <c r="M281" s="572"/>
      <c r="N281" s="578" t="str">
        <f t="shared" si="10"/>
        <v/>
      </c>
    </row>
    <row r="282" spans="1:14" ht="19.5" customHeight="1">
      <c r="A282" s="560" t="str">
        <f t="shared" si="11"/>
        <v/>
      </c>
      <c r="B282" s="567"/>
      <c r="C282" s="568"/>
      <c r="D282" s="576"/>
      <c r="E282" s="573"/>
      <c r="F282" s="570"/>
      <c r="G282" s="575"/>
      <c r="H282" s="574"/>
      <c r="I282" s="572"/>
      <c r="J282" s="574"/>
      <c r="K282" s="572"/>
      <c r="L282" s="572"/>
      <c r="M282" s="572"/>
      <c r="N282" s="578" t="str">
        <f t="shared" si="10"/>
        <v/>
      </c>
    </row>
    <row r="283" spans="1:14" ht="19.5" customHeight="1">
      <c r="A283" s="560" t="str">
        <f t="shared" si="11"/>
        <v/>
      </c>
      <c r="B283" s="567"/>
      <c r="C283" s="568"/>
      <c r="D283" s="576"/>
      <c r="E283" s="573"/>
      <c r="F283" s="570"/>
      <c r="G283" s="575"/>
      <c r="H283" s="574"/>
      <c r="I283" s="572"/>
      <c r="J283" s="574"/>
      <c r="K283" s="572"/>
      <c r="L283" s="572"/>
      <c r="M283" s="572"/>
      <c r="N283" s="578" t="str">
        <f t="shared" si="10"/>
        <v/>
      </c>
    </row>
    <row r="284" spans="1:14" ht="19.5" customHeight="1">
      <c r="A284" s="560" t="str">
        <f t="shared" si="11"/>
        <v/>
      </c>
      <c r="B284" s="567"/>
      <c r="C284" s="568"/>
      <c r="D284" s="576"/>
      <c r="E284" s="573"/>
      <c r="F284" s="570"/>
      <c r="G284" s="575"/>
      <c r="H284" s="574"/>
      <c r="I284" s="572"/>
      <c r="J284" s="574"/>
      <c r="K284" s="572"/>
      <c r="L284" s="572"/>
      <c r="M284" s="572"/>
      <c r="N284" s="578" t="str">
        <f t="shared" si="10"/>
        <v/>
      </c>
    </row>
    <row r="285" spans="1:14" ht="19.5" customHeight="1">
      <c r="A285" s="560" t="str">
        <f t="shared" si="11"/>
        <v/>
      </c>
      <c r="B285" s="567"/>
      <c r="C285" s="568"/>
      <c r="D285" s="576"/>
      <c r="E285" s="573"/>
      <c r="F285" s="570"/>
      <c r="G285" s="575"/>
      <c r="H285" s="574"/>
      <c r="I285" s="572"/>
      <c r="J285" s="574"/>
      <c r="K285" s="572"/>
      <c r="L285" s="572"/>
      <c r="M285" s="572"/>
      <c r="N285" s="578" t="str">
        <f t="shared" si="10"/>
        <v/>
      </c>
    </row>
    <row r="286" spans="1:14" ht="19.5" customHeight="1">
      <c r="A286" s="560" t="str">
        <f t="shared" si="11"/>
        <v/>
      </c>
      <c r="B286" s="567"/>
      <c r="C286" s="568"/>
      <c r="D286" s="576"/>
      <c r="E286" s="573"/>
      <c r="F286" s="570"/>
      <c r="G286" s="575"/>
      <c r="H286" s="574"/>
      <c r="I286" s="572"/>
      <c r="J286" s="574"/>
      <c r="K286" s="572"/>
      <c r="L286" s="572"/>
      <c r="M286" s="572"/>
      <c r="N286" s="578" t="str">
        <f t="shared" si="10"/>
        <v/>
      </c>
    </row>
    <row r="287" spans="1:14" ht="19.5" customHeight="1">
      <c r="A287" s="560" t="str">
        <f t="shared" si="11"/>
        <v/>
      </c>
      <c r="B287" s="567"/>
      <c r="C287" s="568"/>
      <c r="D287" s="576"/>
      <c r="E287" s="573"/>
      <c r="F287" s="570"/>
      <c r="G287" s="575"/>
      <c r="H287" s="574"/>
      <c r="I287" s="572"/>
      <c r="J287" s="574"/>
      <c r="K287" s="572"/>
      <c r="L287" s="572"/>
      <c r="M287" s="572"/>
      <c r="N287" s="578" t="str">
        <f t="shared" si="10"/>
        <v/>
      </c>
    </row>
    <row r="288" spans="1:14" ht="19.5" customHeight="1">
      <c r="A288" s="560" t="str">
        <f t="shared" si="11"/>
        <v/>
      </c>
      <c r="B288" s="567"/>
      <c r="C288" s="568"/>
      <c r="D288" s="576"/>
      <c r="E288" s="573"/>
      <c r="F288" s="570"/>
      <c r="G288" s="575"/>
      <c r="H288" s="574"/>
      <c r="I288" s="572"/>
      <c r="J288" s="574"/>
      <c r="K288" s="572"/>
      <c r="L288" s="572"/>
      <c r="M288" s="572"/>
      <c r="N288" s="578" t="str">
        <f t="shared" si="10"/>
        <v/>
      </c>
    </row>
    <row r="289" spans="1:14" ht="19.5" customHeight="1">
      <c r="A289" s="560" t="str">
        <f t="shared" si="11"/>
        <v/>
      </c>
      <c r="B289" s="567"/>
      <c r="C289" s="568"/>
      <c r="D289" s="576"/>
      <c r="E289" s="573"/>
      <c r="F289" s="570"/>
      <c r="G289" s="575"/>
      <c r="H289" s="574"/>
      <c r="I289" s="572"/>
      <c r="J289" s="574"/>
      <c r="K289" s="572"/>
      <c r="L289" s="572"/>
      <c r="M289" s="572"/>
      <c r="N289" s="578" t="str">
        <f t="shared" si="10"/>
        <v/>
      </c>
    </row>
    <row r="290" spans="1:14" ht="19.5" customHeight="1">
      <c r="A290" s="560" t="str">
        <f t="shared" si="11"/>
        <v/>
      </c>
      <c r="B290" s="567"/>
      <c r="C290" s="568"/>
      <c r="D290" s="576"/>
      <c r="E290" s="573"/>
      <c r="F290" s="570"/>
      <c r="G290" s="575"/>
      <c r="H290" s="574"/>
      <c r="I290" s="572"/>
      <c r="J290" s="574"/>
      <c r="K290" s="572"/>
      <c r="L290" s="572"/>
      <c r="M290" s="572"/>
      <c r="N290" s="578" t="str">
        <f t="shared" si="10"/>
        <v/>
      </c>
    </row>
    <row r="291" spans="1:14" ht="19.5" customHeight="1">
      <c r="A291" s="560" t="str">
        <f t="shared" si="11"/>
        <v/>
      </c>
      <c r="B291" s="567"/>
      <c r="C291" s="568"/>
      <c r="D291" s="576"/>
      <c r="E291" s="573"/>
      <c r="F291" s="570"/>
      <c r="G291" s="575"/>
      <c r="H291" s="574"/>
      <c r="I291" s="572"/>
      <c r="J291" s="574"/>
      <c r="K291" s="572"/>
      <c r="L291" s="572"/>
      <c r="M291" s="572"/>
      <c r="N291" s="578" t="str">
        <f t="shared" si="10"/>
        <v/>
      </c>
    </row>
    <row r="292" spans="1:14" ht="19.5" customHeight="1">
      <c r="A292" s="560" t="str">
        <f t="shared" si="11"/>
        <v/>
      </c>
      <c r="B292" s="567"/>
      <c r="C292" s="568"/>
      <c r="D292" s="576"/>
      <c r="E292" s="573"/>
      <c r="F292" s="570"/>
      <c r="G292" s="575"/>
      <c r="H292" s="574"/>
      <c r="I292" s="572"/>
      <c r="J292" s="574"/>
      <c r="K292" s="572"/>
      <c r="L292" s="572"/>
      <c r="M292" s="572"/>
      <c r="N292" s="578" t="str">
        <f t="shared" si="10"/>
        <v/>
      </c>
    </row>
    <row r="293" spans="1:14" ht="19.5" customHeight="1">
      <c r="A293" s="560" t="str">
        <f t="shared" si="11"/>
        <v/>
      </c>
      <c r="B293" s="567"/>
      <c r="C293" s="568"/>
      <c r="D293" s="576"/>
      <c r="E293" s="573"/>
      <c r="F293" s="570"/>
      <c r="G293" s="575"/>
      <c r="H293" s="574"/>
      <c r="I293" s="572"/>
      <c r="J293" s="574"/>
      <c r="K293" s="572"/>
      <c r="L293" s="572"/>
      <c r="M293" s="572"/>
      <c r="N293" s="578" t="str">
        <f t="shared" si="10"/>
        <v/>
      </c>
    </row>
    <row r="294" spans="1:14" ht="19.5" customHeight="1">
      <c r="A294" s="560" t="str">
        <f t="shared" si="11"/>
        <v/>
      </c>
      <c r="B294" s="567"/>
      <c r="C294" s="568"/>
      <c r="D294" s="576"/>
      <c r="E294" s="573"/>
      <c r="F294" s="570"/>
      <c r="G294" s="575"/>
      <c r="H294" s="574"/>
      <c r="I294" s="572"/>
      <c r="J294" s="574"/>
      <c r="K294" s="572"/>
      <c r="L294" s="572"/>
      <c r="M294" s="572"/>
      <c r="N294" s="578" t="str">
        <f t="shared" si="10"/>
        <v/>
      </c>
    </row>
    <row r="295" spans="1:14" ht="19.5" customHeight="1">
      <c r="A295" s="560" t="str">
        <f t="shared" si="11"/>
        <v/>
      </c>
      <c r="B295" s="567"/>
      <c r="C295" s="568"/>
      <c r="D295" s="576"/>
      <c r="E295" s="573"/>
      <c r="F295" s="570"/>
      <c r="G295" s="575"/>
      <c r="H295" s="574"/>
      <c r="I295" s="572"/>
      <c r="J295" s="574"/>
      <c r="K295" s="572"/>
      <c r="L295" s="572"/>
      <c r="M295" s="572"/>
      <c r="N295" s="578" t="str">
        <f t="shared" si="10"/>
        <v/>
      </c>
    </row>
    <row r="296" spans="1:14" ht="19.5" customHeight="1">
      <c r="A296" s="560" t="str">
        <f t="shared" si="11"/>
        <v/>
      </c>
      <c r="B296" s="567"/>
      <c r="C296" s="568"/>
      <c r="D296" s="576"/>
      <c r="E296" s="573"/>
      <c r="F296" s="570"/>
      <c r="G296" s="575"/>
      <c r="H296" s="574"/>
      <c r="I296" s="572"/>
      <c r="J296" s="574"/>
      <c r="K296" s="572"/>
      <c r="L296" s="572"/>
      <c r="M296" s="572"/>
      <c r="N296" s="578" t="str">
        <f t="shared" si="10"/>
        <v/>
      </c>
    </row>
    <row r="297" spans="1:14" ht="19.5" customHeight="1">
      <c r="A297" s="560" t="str">
        <f t="shared" si="11"/>
        <v/>
      </c>
      <c r="B297" s="567"/>
      <c r="C297" s="568"/>
      <c r="D297" s="576"/>
      <c r="E297" s="573"/>
      <c r="F297" s="570"/>
      <c r="G297" s="575"/>
      <c r="H297" s="574"/>
      <c r="I297" s="572"/>
      <c r="J297" s="574"/>
      <c r="K297" s="572"/>
      <c r="L297" s="572"/>
      <c r="M297" s="572"/>
      <c r="N297" s="578" t="str">
        <f t="shared" si="10"/>
        <v/>
      </c>
    </row>
    <row r="298" spans="1:14" ht="19.5" customHeight="1">
      <c r="A298" s="560" t="str">
        <f t="shared" si="11"/>
        <v/>
      </c>
      <c r="B298" s="567"/>
      <c r="C298" s="568"/>
      <c r="D298" s="576"/>
      <c r="E298" s="573"/>
      <c r="F298" s="570"/>
      <c r="G298" s="575"/>
      <c r="H298" s="574"/>
      <c r="I298" s="572"/>
      <c r="J298" s="574"/>
      <c r="K298" s="572"/>
      <c r="L298" s="572"/>
      <c r="M298" s="572"/>
      <c r="N298" s="578" t="str">
        <f t="shared" si="10"/>
        <v/>
      </c>
    </row>
    <row r="299" spans="1:14" ht="19.5" customHeight="1">
      <c r="A299" s="560" t="str">
        <f t="shared" si="11"/>
        <v/>
      </c>
      <c r="B299" s="567"/>
      <c r="C299" s="568"/>
      <c r="D299" s="576"/>
      <c r="E299" s="573"/>
      <c r="F299" s="570"/>
      <c r="G299" s="575"/>
      <c r="H299" s="574"/>
      <c r="I299" s="572"/>
      <c r="J299" s="574"/>
      <c r="K299" s="572"/>
      <c r="L299" s="572"/>
      <c r="M299" s="572"/>
      <c r="N299" s="578" t="str">
        <f t="shared" si="10"/>
        <v/>
      </c>
    </row>
    <row r="300" spans="1:14" ht="19.5" customHeight="1">
      <c r="A300" s="560" t="str">
        <f t="shared" si="11"/>
        <v/>
      </c>
      <c r="B300" s="567"/>
      <c r="C300" s="568"/>
      <c r="D300" s="576"/>
      <c r="E300" s="573"/>
      <c r="F300" s="570"/>
      <c r="G300" s="575"/>
      <c r="H300" s="574"/>
      <c r="I300" s="572"/>
      <c r="J300" s="574"/>
      <c r="K300" s="572"/>
      <c r="L300" s="572"/>
      <c r="M300" s="572"/>
      <c r="N300" s="578" t="str">
        <f t="shared" si="10"/>
        <v/>
      </c>
    </row>
    <row r="301" spans="1:14" ht="19.5" customHeight="1">
      <c r="A301" s="560" t="str">
        <f t="shared" si="11"/>
        <v/>
      </c>
      <c r="B301" s="567"/>
      <c r="C301" s="568"/>
      <c r="D301" s="576"/>
      <c r="E301" s="573"/>
      <c r="F301" s="570"/>
      <c r="G301" s="575"/>
      <c r="H301" s="574"/>
      <c r="I301" s="572"/>
      <c r="J301" s="574"/>
      <c r="K301" s="572"/>
      <c r="L301" s="572"/>
      <c r="M301" s="572"/>
      <c r="N301" s="578" t="str">
        <f t="shared" si="10"/>
        <v/>
      </c>
    </row>
    <row r="302" spans="1:14" ht="19.5" customHeight="1">
      <c r="A302" s="560" t="str">
        <f t="shared" si="11"/>
        <v/>
      </c>
      <c r="B302" s="567"/>
      <c r="C302" s="568"/>
      <c r="D302" s="576"/>
      <c r="E302" s="573"/>
      <c r="F302" s="570"/>
      <c r="G302" s="575"/>
      <c r="H302" s="574"/>
      <c r="I302" s="572"/>
      <c r="J302" s="574"/>
      <c r="K302" s="572"/>
      <c r="L302" s="572"/>
      <c r="M302" s="572"/>
      <c r="N302" s="578" t="str">
        <f t="shared" ref="N302:N365" si="12">IF(A302&lt;&gt;"",HYPERLINK("#"&amp;A302&amp;"!A1","跳转"),"")</f>
        <v/>
      </c>
    </row>
    <row r="303" spans="1:14" ht="19.5" customHeight="1">
      <c r="A303" s="560" t="str">
        <f t="shared" si="11"/>
        <v/>
      </c>
      <c r="B303" s="567"/>
      <c r="C303" s="568"/>
      <c r="D303" s="576"/>
      <c r="E303" s="573"/>
      <c r="F303" s="570"/>
      <c r="G303" s="575"/>
      <c r="H303" s="574"/>
      <c r="I303" s="572"/>
      <c r="J303" s="574"/>
      <c r="K303" s="572"/>
      <c r="L303" s="572"/>
      <c r="M303" s="572"/>
      <c r="N303" s="578" t="str">
        <f t="shared" si="12"/>
        <v/>
      </c>
    </row>
    <row r="304" spans="1:14" ht="19.5" customHeight="1">
      <c r="A304" s="560" t="str">
        <f t="shared" si="11"/>
        <v/>
      </c>
      <c r="B304" s="567"/>
      <c r="C304" s="568"/>
      <c r="D304" s="576"/>
      <c r="E304" s="573"/>
      <c r="F304" s="570"/>
      <c r="G304" s="575"/>
      <c r="H304" s="574"/>
      <c r="I304" s="572"/>
      <c r="J304" s="574"/>
      <c r="K304" s="572"/>
      <c r="L304" s="572"/>
      <c r="M304" s="572"/>
      <c r="N304" s="578" t="str">
        <f t="shared" si="12"/>
        <v/>
      </c>
    </row>
    <row r="305" spans="1:14" ht="19.5" customHeight="1">
      <c r="A305" s="560" t="str">
        <f t="shared" si="11"/>
        <v/>
      </c>
      <c r="B305" s="567"/>
      <c r="C305" s="568"/>
      <c r="D305" s="576"/>
      <c r="E305" s="573"/>
      <c r="F305" s="570"/>
      <c r="G305" s="575"/>
      <c r="H305" s="574"/>
      <c r="I305" s="572"/>
      <c r="J305" s="574"/>
      <c r="K305" s="572"/>
      <c r="L305" s="572"/>
      <c r="M305" s="572"/>
      <c r="N305" s="578" t="str">
        <f t="shared" si="12"/>
        <v/>
      </c>
    </row>
    <row r="306" spans="1:14" ht="19.5" customHeight="1">
      <c r="A306" s="560" t="str">
        <f t="shared" si="11"/>
        <v/>
      </c>
      <c r="B306" s="567"/>
      <c r="C306" s="568"/>
      <c r="D306" s="576"/>
      <c r="E306" s="573"/>
      <c r="F306" s="570"/>
      <c r="G306" s="575"/>
      <c r="H306" s="574"/>
      <c r="I306" s="572"/>
      <c r="J306" s="574"/>
      <c r="K306" s="572"/>
      <c r="L306" s="572"/>
      <c r="M306" s="572"/>
      <c r="N306" s="578" t="str">
        <f t="shared" si="12"/>
        <v/>
      </c>
    </row>
    <row r="307" spans="1:14" ht="19.5" customHeight="1">
      <c r="A307" s="560" t="str">
        <f t="shared" si="11"/>
        <v/>
      </c>
      <c r="B307" s="567"/>
      <c r="C307" s="568"/>
      <c r="D307" s="576"/>
      <c r="E307" s="573"/>
      <c r="F307" s="570"/>
      <c r="G307" s="575"/>
      <c r="H307" s="574"/>
      <c r="I307" s="572"/>
      <c r="J307" s="574"/>
      <c r="K307" s="572"/>
      <c r="L307" s="572"/>
      <c r="M307" s="572"/>
      <c r="N307" s="578" t="str">
        <f t="shared" si="12"/>
        <v/>
      </c>
    </row>
    <row r="308" spans="1:14" ht="19.5" customHeight="1">
      <c r="A308" s="560" t="str">
        <f t="shared" si="11"/>
        <v/>
      </c>
      <c r="B308" s="567"/>
      <c r="C308" s="568"/>
      <c r="D308" s="576"/>
      <c r="E308" s="573"/>
      <c r="F308" s="570"/>
      <c r="G308" s="575"/>
      <c r="H308" s="574"/>
      <c r="I308" s="572"/>
      <c r="J308" s="574"/>
      <c r="K308" s="572"/>
      <c r="L308" s="572"/>
      <c r="M308" s="572"/>
      <c r="N308" s="578" t="str">
        <f t="shared" si="12"/>
        <v/>
      </c>
    </row>
    <row r="309" spans="1:14" ht="19.5" customHeight="1">
      <c r="A309" s="560" t="str">
        <f t="shared" si="11"/>
        <v/>
      </c>
      <c r="B309" s="567"/>
      <c r="C309" s="568"/>
      <c r="D309" s="576"/>
      <c r="E309" s="573"/>
      <c r="F309" s="570"/>
      <c r="G309" s="575"/>
      <c r="H309" s="574"/>
      <c r="I309" s="572"/>
      <c r="J309" s="574"/>
      <c r="K309" s="572"/>
      <c r="L309" s="572"/>
      <c r="M309" s="572"/>
      <c r="N309" s="578" t="str">
        <f t="shared" si="12"/>
        <v/>
      </c>
    </row>
    <row r="310" spans="1:14" ht="19.5" customHeight="1">
      <c r="A310" s="560" t="str">
        <f t="shared" ref="A310:A373" si="13">IF(C310&lt;&gt;"",ROW(C310)-1,"")</f>
        <v/>
      </c>
      <c r="B310" s="567"/>
      <c r="C310" s="568"/>
      <c r="D310" s="576"/>
      <c r="E310" s="573"/>
      <c r="F310" s="570"/>
      <c r="G310" s="575"/>
      <c r="H310" s="574"/>
      <c r="I310" s="572"/>
      <c r="J310" s="574"/>
      <c r="K310" s="572"/>
      <c r="L310" s="572"/>
      <c r="M310" s="572"/>
      <c r="N310" s="578" t="str">
        <f t="shared" si="12"/>
        <v/>
      </c>
    </row>
    <row r="311" spans="1:14" ht="19.5" customHeight="1">
      <c r="A311" s="560" t="str">
        <f t="shared" si="13"/>
        <v/>
      </c>
      <c r="B311" s="567"/>
      <c r="C311" s="568"/>
      <c r="D311" s="576"/>
      <c r="E311" s="573"/>
      <c r="F311" s="570"/>
      <c r="G311" s="575"/>
      <c r="H311" s="574"/>
      <c r="I311" s="572"/>
      <c r="J311" s="574"/>
      <c r="K311" s="572"/>
      <c r="L311" s="572"/>
      <c r="M311" s="572"/>
      <c r="N311" s="578" t="str">
        <f t="shared" si="12"/>
        <v/>
      </c>
    </row>
    <row r="312" spans="1:14" ht="19.5" customHeight="1">
      <c r="A312" s="560" t="str">
        <f t="shared" si="13"/>
        <v/>
      </c>
      <c r="B312" s="567"/>
      <c r="C312" s="568"/>
      <c r="D312" s="576"/>
      <c r="E312" s="573"/>
      <c r="F312" s="570"/>
      <c r="G312" s="575"/>
      <c r="H312" s="574"/>
      <c r="I312" s="572"/>
      <c r="J312" s="574"/>
      <c r="K312" s="572"/>
      <c r="L312" s="572"/>
      <c r="M312" s="572"/>
      <c r="N312" s="578" t="str">
        <f t="shared" si="12"/>
        <v/>
      </c>
    </row>
    <row r="313" spans="1:14" ht="19.5" customHeight="1">
      <c r="A313" s="560" t="str">
        <f t="shared" si="13"/>
        <v/>
      </c>
      <c r="B313" s="567"/>
      <c r="C313" s="568"/>
      <c r="D313" s="576"/>
      <c r="E313" s="573"/>
      <c r="F313" s="570"/>
      <c r="G313" s="575"/>
      <c r="H313" s="574"/>
      <c r="I313" s="572"/>
      <c r="J313" s="574"/>
      <c r="K313" s="572"/>
      <c r="L313" s="572"/>
      <c r="M313" s="572"/>
      <c r="N313" s="578" t="str">
        <f t="shared" si="12"/>
        <v/>
      </c>
    </row>
    <row r="314" spans="1:14" ht="19.5" customHeight="1">
      <c r="A314" s="560" t="str">
        <f t="shared" si="13"/>
        <v/>
      </c>
      <c r="B314" s="567"/>
      <c r="C314" s="568"/>
      <c r="D314" s="576"/>
      <c r="E314" s="573"/>
      <c r="F314" s="570"/>
      <c r="G314" s="575"/>
      <c r="H314" s="574"/>
      <c r="I314" s="572"/>
      <c r="J314" s="574"/>
      <c r="K314" s="572"/>
      <c r="L314" s="572"/>
      <c r="M314" s="572"/>
      <c r="N314" s="578" t="str">
        <f t="shared" si="12"/>
        <v/>
      </c>
    </row>
    <row r="315" spans="1:14" ht="19.5" customHeight="1">
      <c r="A315" s="560" t="str">
        <f t="shared" si="13"/>
        <v/>
      </c>
      <c r="B315" s="567"/>
      <c r="C315" s="568"/>
      <c r="D315" s="576"/>
      <c r="E315" s="573"/>
      <c r="F315" s="570"/>
      <c r="G315" s="575"/>
      <c r="H315" s="574"/>
      <c r="I315" s="572"/>
      <c r="J315" s="574"/>
      <c r="K315" s="572"/>
      <c r="L315" s="572"/>
      <c r="M315" s="572"/>
      <c r="N315" s="578" t="str">
        <f t="shared" si="12"/>
        <v/>
      </c>
    </row>
    <row r="316" spans="1:14" ht="19.5" customHeight="1">
      <c r="A316" s="560" t="str">
        <f t="shared" si="13"/>
        <v/>
      </c>
      <c r="B316" s="567"/>
      <c r="C316" s="568"/>
      <c r="D316" s="576"/>
      <c r="E316" s="573"/>
      <c r="F316" s="570"/>
      <c r="G316" s="575"/>
      <c r="H316" s="574"/>
      <c r="I316" s="572"/>
      <c r="J316" s="574"/>
      <c r="K316" s="572"/>
      <c r="L316" s="572"/>
      <c r="M316" s="572"/>
      <c r="N316" s="578" t="str">
        <f t="shared" si="12"/>
        <v/>
      </c>
    </row>
    <row r="317" spans="1:14" ht="19.5" customHeight="1">
      <c r="A317" s="560" t="str">
        <f t="shared" si="13"/>
        <v/>
      </c>
      <c r="B317" s="567"/>
      <c r="C317" s="568"/>
      <c r="D317" s="576"/>
      <c r="E317" s="573"/>
      <c r="F317" s="570"/>
      <c r="G317" s="575"/>
      <c r="H317" s="574"/>
      <c r="I317" s="572"/>
      <c r="J317" s="574"/>
      <c r="K317" s="572"/>
      <c r="L317" s="572"/>
      <c r="M317" s="572"/>
      <c r="N317" s="578" t="str">
        <f t="shared" si="12"/>
        <v/>
      </c>
    </row>
    <row r="318" spans="1:14" ht="19.5" customHeight="1">
      <c r="A318" s="560" t="str">
        <f t="shared" si="13"/>
        <v/>
      </c>
      <c r="B318" s="567"/>
      <c r="C318" s="568"/>
      <c r="D318" s="576"/>
      <c r="E318" s="573"/>
      <c r="F318" s="570"/>
      <c r="G318" s="575"/>
      <c r="H318" s="574"/>
      <c r="I318" s="572"/>
      <c r="J318" s="574"/>
      <c r="K318" s="572"/>
      <c r="L318" s="572"/>
      <c r="M318" s="572"/>
      <c r="N318" s="578" t="str">
        <f t="shared" si="12"/>
        <v/>
      </c>
    </row>
    <row r="319" spans="1:14" ht="19.5" customHeight="1">
      <c r="A319" s="560" t="str">
        <f t="shared" si="13"/>
        <v/>
      </c>
      <c r="B319" s="567"/>
      <c r="C319" s="568"/>
      <c r="D319" s="576"/>
      <c r="E319" s="573"/>
      <c r="F319" s="570"/>
      <c r="G319" s="575"/>
      <c r="H319" s="574"/>
      <c r="I319" s="572"/>
      <c r="J319" s="574"/>
      <c r="K319" s="572"/>
      <c r="L319" s="572"/>
      <c r="M319" s="572"/>
      <c r="N319" s="578" t="str">
        <f t="shared" si="12"/>
        <v/>
      </c>
    </row>
    <row r="320" spans="1:14" ht="19.5" customHeight="1">
      <c r="A320" s="560" t="str">
        <f t="shared" si="13"/>
        <v/>
      </c>
      <c r="B320" s="567"/>
      <c r="C320" s="568"/>
      <c r="D320" s="576"/>
      <c r="E320" s="573"/>
      <c r="F320" s="570"/>
      <c r="G320" s="575"/>
      <c r="H320" s="574"/>
      <c r="I320" s="572"/>
      <c r="J320" s="574"/>
      <c r="K320" s="572"/>
      <c r="L320" s="572"/>
      <c r="M320" s="572"/>
      <c r="N320" s="578" t="str">
        <f t="shared" si="12"/>
        <v/>
      </c>
    </row>
    <row r="321" spans="1:14" ht="19.5" customHeight="1">
      <c r="A321" s="560" t="str">
        <f t="shared" si="13"/>
        <v/>
      </c>
      <c r="B321" s="567"/>
      <c r="C321" s="568"/>
      <c r="D321" s="576"/>
      <c r="E321" s="573"/>
      <c r="F321" s="570"/>
      <c r="G321" s="575"/>
      <c r="H321" s="574"/>
      <c r="I321" s="572"/>
      <c r="J321" s="574"/>
      <c r="K321" s="572"/>
      <c r="L321" s="572"/>
      <c r="M321" s="572"/>
      <c r="N321" s="578" t="str">
        <f t="shared" si="12"/>
        <v/>
      </c>
    </row>
    <row r="322" spans="1:14" ht="19.5" customHeight="1">
      <c r="A322" s="560" t="str">
        <f t="shared" si="13"/>
        <v/>
      </c>
      <c r="B322" s="567"/>
      <c r="C322" s="568"/>
      <c r="D322" s="576"/>
      <c r="E322" s="573"/>
      <c r="F322" s="570"/>
      <c r="G322" s="575"/>
      <c r="H322" s="574"/>
      <c r="I322" s="572"/>
      <c r="J322" s="574"/>
      <c r="K322" s="572"/>
      <c r="L322" s="572"/>
      <c r="M322" s="572"/>
      <c r="N322" s="578" t="str">
        <f t="shared" si="12"/>
        <v/>
      </c>
    </row>
    <row r="323" spans="1:14" ht="19.5" customHeight="1">
      <c r="A323" s="560" t="str">
        <f t="shared" si="13"/>
        <v/>
      </c>
      <c r="B323" s="567"/>
      <c r="C323" s="568"/>
      <c r="D323" s="576"/>
      <c r="E323" s="573"/>
      <c r="F323" s="570"/>
      <c r="G323" s="575"/>
      <c r="H323" s="574"/>
      <c r="I323" s="572"/>
      <c r="J323" s="574"/>
      <c r="K323" s="572"/>
      <c r="L323" s="572"/>
      <c r="M323" s="572"/>
      <c r="N323" s="578" t="str">
        <f t="shared" si="12"/>
        <v/>
      </c>
    </row>
    <row r="324" spans="1:14" ht="19.5" customHeight="1">
      <c r="A324" s="560" t="str">
        <f t="shared" si="13"/>
        <v/>
      </c>
      <c r="B324" s="567"/>
      <c r="C324" s="568"/>
      <c r="D324" s="576"/>
      <c r="E324" s="573"/>
      <c r="F324" s="570"/>
      <c r="G324" s="575"/>
      <c r="H324" s="574"/>
      <c r="I324" s="572"/>
      <c r="J324" s="574"/>
      <c r="K324" s="572"/>
      <c r="L324" s="572"/>
      <c r="M324" s="572"/>
      <c r="N324" s="578" t="str">
        <f t="shared" si="12"/>
        <v/>
      </c>
    </row>
    <row r="325" spans="1:14" ht="19.5" customHeight="1">
      <c r="A325" s="560" t="str">
        <f t="shared" si="13"/>
        <v/>
      </c>
      <c r="B325" s="567"/>
      <c r="C325" s="568"/>
      <c r="D325" s="576"/>
      <c r="E325" s="573"/>
      <c r="F325" s="570"/>
      <c r="G325" s="575"/>
      <c r="H325" s="574"/>
      <c r="I325" s="572"/>
      <c r="J325" s="574"/>
      <c r="K325" s="572"/>
      <c r="L325" s="572"/>
      <c r="M325" s="572"/>
      <c r="N325" s="578" t="str">
        <f t="shared" si="12"/>
        <v/>
      </c>
    </row>
    <row r="326" spans="1:14" ht="19.5" customHeight="1">
      <c r="A326" s="560" t="str">
        <f t="shared" si="13"/>
        <v/>
      </c>
      <c r="B326" s="567"/>
      <c r="C326" s="568"/>
      <c r="D326" s="576"/>
      <c r="E326" s="573"/>
      <c r="F326" s="570"/>
      <c r="G326" s="575"/>
      <c r="H326" s="574"/>
      <c r="I326" s="572"/>
      <c r="J326" s="574"/>
      <c r="K326" s="572"/>
      <c r="L326" s="572"/>
      <c r="M326" s="572"/>
      <c r="N326" s="578" t="str">
        <f t="shared" si="12"/>
        <v/>
      </c>
    </row>
    <row r="327" spans="1:14" ht="19.5" customHeight="1">
      <c r="A327" s="560" t="str">
        <f t="shared" si="13"/>
        <v/>
      </c>
      <c r="B327" s="567"/>
      <c r="C327" s="568"/>
      <c r="D327" s="576"/>
      <c r="E327" s="573"/>
      <c r="F327" s="570"/>
      <c r="G327" s="575"/>
      <c r="H327" s="574"/>
      <c r="I327" s="572"/>
      <c r="J327" s="574"/>
      <c r="K327" s="572"/>
      <c r="L327" s="572"/>
      <c r="M327" s="572"/>
      <c r="N327" s="578" t="str">
        <f t="shared" si="12"/>
        <v/>
      </c>
    </row>
    <row r="328" spans="1:14" ht="19.5" customHeight="1">
      <c r="A328" s="560" t="str">
        <f t="shared" si="13"/>
        <v/>
      </c>
      <c r="B328" s="567"/>
      <c r="C328" s="568"/>
      <c r="D328" s="576"/>
      <c r="E328" s="573"/>
      <c r="F328" s="570"/>
      <c r="G328" s="575"/>
      <c r="H328" s="574"/>
      <c r="I328" s="572"/>
      <c r="J328" s="574"/>
      <c r="K328" s="572"/>
      <c r="L328" s="572"/>
      <c r="M328" s="572"/>
      <c r="N328" s="578" t="str">
        <f t="shared" si="12"/>
        <v/>
      </c>
    </row>
    <row r="329" spans="1:14" ht="19.5" customHeight="1">
      <c r="A329" s="560" t="str">
        <f t="shared" si="13"/>
        <v/>
      </c>
      <c r="B329" s="567"/>
      <c r="C329" s="568"/>
      <c r="D329" s="576"/>
      <c r="E329" s="573"/>
      <c r="F329" s="570"/>
      <c r="G329" s="575"/>
      <c r="H329" s="574"/>
      <c r="I329" s="572"/>
      <c r="J329" s="574"/>
      <c r="K329" s="572"/>
      <c r="L329" s="572"/>
      <c r="M329" s="572"/>
      <c r="N329" s="578" t="str">
        <f t="shared" si="12"/>
        <v/>
      </c>
    </row>
    <row r="330" spans="1:14" ht="19.5" customHeight="1">
      <c r="A330" s="560" t="str">
        <f t="shared" si="13"/>
        <v/>
      </c>
      <c r="B330" s="567"/>
      <c r="C330" s="568"/>
      <c r="D330" s="576"/>
      <c r="E330" s="573"/>
      <c r="F330" s="570"/>
      <c r="G330" s="575"/>
      <c r="H330" s="574"/>
      <c r="I330" s="572"/>
      <c r="J330" s="574"/>
      <c r="K330" s="572"/>
      <c r="L330" s="572"/>
      <c r="M330" s="572"/>
      <c r="N330" s="578" t="str">
        <f t="shared" si="12"/>
        <v/>
      </c>
    </row>
    <row r="331" spans="1:14" ht="19.5" customHeight="1">
      <c r="A331" s="560" t="str">
        <f t="shared" si="13"/>
        <v/>
      </c>
      <c r="B331" s="567"/>
      <c r="C331" s="568"/>
      <c r="D331" s="576"/>
      <c r="E331" s="573"/>
      <c r="F331" s="570"/>
      <c r="G331" s="575"/>
      <c r="H331" s="574"/>
      <c r="I331" s="572"/>
      <c r="J331" s="574"/>
      <c r="K331" s="572"/>
      <c r="L331" s="572"/>
      <c r="M331" s="572"/>
      <c r="N331" s="578" t="str">
        <f t="shared" si="12"/>
        <v/>
      </c>
    </row>
    <row r="332" spans="1:14" ht="19.5" customHeight="1">
      <c r="A332" s="560" t="str">
        <f t="shared" si="13"/>
        <v/>
      </c>
      <c r="B332" s="567"/>
      <c r="C332" s="568"/>
      <c r="D332" s="576"/>
      <c r="E332" s="573"/>
      <c r="F332" s="570"/>
      <c r="G332" s="575"/>
      <c r="H332" s="574"/>
      <c r="I332" s="572"/>
      <c r="J332" s="574"/>
      <c r="K332" s="572"/>
      <c r="L332" s="572"/>
      <c r="M332" s="572"/>
      <c r="N332" s="578" t="str">
        <f t="shared" si="12"/>
        <v/>
      </c>
    </row>
    <row r="333" spans="1:14" ht="19.5" customHeight="1">
      <c r="A333" s="560" t="str">
        <f t="shared" si="13"/>
        <v/>
      </c>
      <c r="B333" s="567"/>
      <c r="C333" s="568"/>
      <c r="D333" s="576"/>
      <c r="E333" s="573"/>
      <c r="F333" s="570"/>
      <c r="G333" s="575"/>
      <c r="H333" s="574"/>
      <c r="I333" s="572"/>
      <c r="J333" s="574"/>
      <c r="K333" s="572"/>
      <c r="L333" s="572"/>
      <c r="M333" s="572"/>
      <c r="N333" s="578" t="str">
        <f t="shared" si="12"/>
        <v/>
      </c>
    </row>
    <row r="334" spans="1:14" ht="19.5" customHeight="1">
      <c r="A334" s="560" t="str">
        <f t="shared" si="13"/>
        <v/>
      </c>
      <c r="B334" s="567"/>
      <c r="C334" s="568"/>
      <c r="D334" s="576"/>
      <c r="E334" s="573"/>
      <c r="F334" s="570"/>
      <c r="G334" s="575"/>
      <c r="H334" s="574"/>
      <c r="I334" s="572"/>
      <c r="J334" s="574"/>
      <c r="K334" s="572"/>
      <c r="L334" s="572"/>
      <c r="M334" s="572"/>
      <c r="N334" s="578" t="str">
        <f t="shared" si="12"/>
        <v/>
      </c>
    </row>
    <row r="335" spans="1:14" ht="19.5" customHeight="1">
      <c r="A335" s="560" t="str">
        <f t="shared" si="13"/>
        <v/>
      </c>
      <c r="B335" s="567"/>
      <c r="C335" s="568"/>
      <c r="D335" s="576"/>
      <c r="E335" s="573"/>
      <c r="F335" s="570"/>
      <c r="G335" s="575"/>
      <c r="H335" s="574"/>
      <c r="I335" s="572"/>
      <c r="J335" s="574"/>
      <c r="K335" s="572"/>
      <c r="L335" s="572"/>
      <c r="M335" s="572"/>
      <c r="N335" s="578" t="str">
        <f t="shared" si="12"/>
        <v/>
      </c>
    </row>
    <row r="336" spans="1:14" ht="19.5" customHeight="1">
      <c r="A336" s="560" t="str">
        <f t="shared" si="13"/>
        <v/>
      </c>
      <c r="B336" s="567"/>
      <c r="C336" s="568"/>
      <c r="D336" s="576"/>
      <c r="E336" s="573"/>
      <c r="F336" s="570"/>
      <c r="G336" s="575"/>
      <c r="H336" s="574"/>
      <c r="I336" s="572"/>
      <c r="J336" s="574"/>
      <c r="K336" s="572"/>
      <c r="L336" s="572"/>
      <c r="M336" s="572"/>
      <c r="N336" s="578" t="str">
        <f t="shared" si="12"/>
        <v/>
      </c>
    </row>
    <row r="337" spans="1:14" ht="19.5" customHeight="1">
      <c r="A337" s="560" t="str">
        <f t="shared" si="13"/>
        <v/>
      </c>
      <c r="B337" s="567"/>
      <c r="C337" s="568"/>
      <c r="D337" s="576"/>
      <c r="E337" s="573"/>
      <c r="F337" s="570"/>
      <c r="G337" s="575"/>
      <c r="H337" s="574"/>
      <c r="I337" s="572"/>
      <c r="J337" s="574"/>
      <c r="K337" s="572"/>
      <c r="L337" s="572"/>
      <c r="M337" s="572"/>
      <c r="N337" s="578" t="str">
        <f t="shared" si="12"/>
        <v/>
      </c>
    </row>
    <row r="338" spans="1:14" ht="19.5" customHeight="1">
      <c r="A338" s="560" t="str">
        <f t="shared" si="13"/>
        <v/>
      </c>
      <c r="B338" s="567"/>
      <c r="C338" s="568"/>
      <c r="D338" s="576"/>
      <c r="E338" s="573"/>
      <c r="F338" s="570"/>
      <c r="G338" s="575"/>
      <c r="H338" s="574"/>
      <c r="I338" s="572"/>
      <c r="J338" s="574"/>
      <c r="K338" s="572"/>
      <c r="L338" s="572"/>
      <c r="M338" s="572"/>
      <c r="N338" s="578" t="str">
        <f t="shared" si="12"/>
        <v/>
      </c>
    </row>
    <row r="339" spans="1:14" ht="19.5" customHeight="1">
      <c r="A339" s="560" t="str">
        <f t="shared" si="13"/>
        <v/>
      </c>
      <c r="B339" s="567"/>
      <c r="C339" s="568"/>
      <c r="D339" s="576"/>
      <c r="E339" s="573"/>
      <c r="F339" s="570"/>
      <c r="G339" s="575"/>
      <c r="H339" s="574"/>
      <c r="I339" s="572"/>
      <c r="J339" s="574"/>
      <c r="K339" s="572"/>
      <c r="L339" s="572"/>
      <c r="M339" s="572"/>
      <c r="N339" s="578" t="str">
        <f t="shared" si="12"/>
        <v/>
      </c>
    </row>
    <row r="340" spans="1:14" ht="19.5" customHeight="1">
      <c r="A340" s="560" t="str">
        <f t="shared" si="13"/>
        <v/>
      </c>
      <c r="B340" s="567"/>
      <c r="C340" s="568"/>
      <c r="D340" s="576"/>
      <c r="E340" s="573"/>
      <c r="F340" s="570"/>
      <c r="G340" s="575"/>
      <c r="H340" s="574"/>
      <c r="I340" s="572"/>
      <c r="J340" s="574"/>
      <c r="K340" s="572"/>
      <c r="L340" s="572"/>
      <c r="M340" s="572"/>
      <c r="N340" s="578" t="str">
        <f t="shared" si="12"/>
        <v/>
      </c>
    </row>
    <row r="341" spans="1:14" ht="19.5" customHeight="1">
      <c r="A341" s="560" t="str">
        <f t="shared" si="13"/>
        <v/>
      </c>
      <c r="B341" s="567"/>
      <c r="C341" s="568"/>
      <c r="D341" s="576"/>
      <c r="E341" s="573"/>
      <c r="F341" s="570"/>
      <c r="G341" s="575"/>
      <c r="H341" s="574"/>
      <c r="I341" s="572"/>
      <c r="J341" s="574"/>
      <c r="K341" s="572"/>
      <c r="L341" s="572"/>
      <c r="M341" s="572"/>
      <c r="N341" s="578" t="str">
        <f t="shared" si="12"/>
        <v/>
      </c>
    </row>
    <row r="342" spans="1:14" ht="19.5" customHeight="1">
      <c r="A342" s="560" t="str">
        <f t="shared" si="13"/>
        <v/>
      </c>
      <c r="B342" s="567"/>
      <c r="C342" s="568"/>
      <c r="D342" s="576"/>
      <c r="E342" s="573"/>
      <c r="F342" s="570"/>
      <c r="G342" s="575"/>
      <c r="H342" s="574"/>
      <c r="I342" s="572"/>
      <c r="J342" s="574"/>
      <c r="K342" s="572"/>
      <c r="L342" s="572"/>
      <c r="M342" s="572"/>
      <c r="N342" s="578" t="str">
        <f t="shared" si="12"/>
        <v/>
      </c>
    </row>
    <row r="343" spans="1:14" ht="19.5" customHeight="1">
      <c r="A343" s="560" t="str">
        <f t="shared" si="13"/>
        <v/>
      </c>
      <c r="B343" s="567"/>
      <c r="C343" s="568"/>
      <c r="D343" s="576"/>
      <c r="E343" s="573"/>
      <c r="F343" s="570"/>
      <c r="G343" s="575"/>
      <c r="H343" s="574"/>
      <c r="I343" s="572"/>
      <c r="J343" s="574"/>
      <c r="K343" s="572"/>
      <c r="L343" s="572"/>
      <c r="M343" s="572"/>
      <c r="N343" s="578" t="str">
        <f t="shared" si="12"/>
        <v/>
      </c>
    </row>
    <row r="344" spans="1:14" ht="19.5" customHeight="1">
      <c r="A344" s="560" t="str">
        <f t="shared" si="13"/>
        <v/>
      </c>
      <c r="B344" s="567"/>
      <c r="C344" s="568"/>
      <c r="D344" s="576"/>
      <c r="E344" s="573"/>
      <c r="F344" s="570"/>
      <c r="G344" s="575"/>
      <c r="H344" s="574"/>
      <c r="I344" s="572"/>
      <c r="J344" s="574"/>
      <c r="K344" s="572"/>
      <c r="L344" s="572"/>
      <c r="M344" s="572"/>
      <c r="N344" s="578" t="str">
        <f t="shared" si="12"/>
        <v/>
      </c>
    </row>
    <row r="345" spans="1:14" ht="19.5" customHeight="1">
      <c r="A345" s="560" t="str">
        <f t="shared" si="13"/>
        <v/>
      </c>
      <c r="B345" s="567"/>
      <c r="C345" s="568"/>
      <c r="D345" s="576"/>
      <c r="E345" s="573"/>
      <c r="F345" s="570"/>
      <c r="G345" s="575"/>
      <c r="H345" s="574"/>
      <c r="I345" s="572"/>
      <c r="J345" s="574"/>
      <c r="K345" s="572"/>
      <c r="L345" s="572"/>
      <c r="M345" s="572"/>
      <c r="N345" s="578" t="str">
        <f t="shared" si="12"/>
        <v/>
      </c>
    </row>
    <row r="346" spans="1:14" ht="19.5" customHeight="1">
      <c r="A346" s="560" t="str">
        <f t="shared" si="13"/>
        <v/>
      </c>
      <c r="B346" s="567"/>
      <c r="C346" s="568"/>
      <c r="D346" s="576"/>
      <c r="E346" s="573"/>
      <c r="F346" s="570"/>
      <c r="G346" s="575"/>
      <c r="H346" s="574"/>
      <c r="I346" s="572"/>
      <c r="J346" s="574"/>
      <c r="K346" s="572"/>
      <c r="L346" s="572"/>
      <c r="M346" s="572"/>
      <c r="N346" s="578" t="str">
        <f t="shared" si="12"/>
        <v/>
      </c>
    </row>
    <row r="347" spans="1:14" ht="19.5" customHeight="1">
      <c r="A347" s="560" t="str">
        <f t="shared" si="13"/>
        <v/>
      </c>
      <c r="B347" s="567"/>
      <c r="C347" s="568"/>
      <c r="D347" s="576"/>
      <c r="E347" s="573"/>
      <c r="F347" s="570"/>
      <c r="G347" s="575"/>
      <c r="H347" s="574"/>
      <c r="I347" s="572"/>
      <c r="J347" s="574"/>
      <c r="K347" s="572"/>
      <c r="L347" s="572"/>
      <c r="M347" s="572"/>
      <c r="N347" s="578" t="str">
        <f t="shared" si="12"/>
        <v/>
      </c>
    </row>
    <row r="348" spans="1:14" ht="19.5" customHeight="1">
      <c r="A348" s="560" t="str">
        <f t="shared" si="13"/>
        <v/>
      </c>
      <c r="B348" s="567"/>
      <c r="C348" s="568"/>
      <c r="D348" s="576"/>
      <c r="E348" s="573"/>
      <c r="F348" s="570"/>
      <c r="G348" s="575"/>
      <c r="H348" s="574"/>
      <c r="I348" s="572"/>
      <c r="J348" s="574"/>
      <c r="K348" s="572"/>
      <c r="L348" s="572"/>
      <c r="M348" s="572"/>
      <c r="N348" s="578" t="str">
        <f t="shared" si="12"/>
        <v/>
      </c>
    </row>
    <row r="349" spans="1:14" ht="19.5" customHeight="1">
      <c r="A349" s="560" t="str">
        <f t="shared" si="13"/>
        <v/>
      </c>
      <c r="B349" s="567"/>
      <c r="C349" s="568"/>
      <c r="D349" s="576"/>
      <c r="E349" s="573"/>
      <c r="F349" s="570"/>
      <c r="G349" s="575"/>
      <c r="H349" s="574"/>
      <c r="I349" s="572"/>
      <c r="J349" s="574"/>
      <c r="K349" s="572"/>
      <c r="L349" s="572"/>
      <c r="M349" s="572"/>
      <c r="N349" s="578" t="str">
        <f t="shared" si="12"/>
        <v/>
      </c>
    </row>
    <row r="350" spans="1:14" ht="19.5" customHeight="1">
      <c r="A350" s="560" t="str">
        <f t="shared" si="13"/>
        <v/>
      </c>
      <c r="B350" s="567"/>
      <c r="C350" s="568"/>
      <c r="D350" s="576"/>
      <c r="E350" s="573"/>
      <c r="F350" s="570"/>
      <c r="G350" s="575"/>
      <c r="H350" s="574"/>
      <c r="I350" s="572"/>
      <c r="J350" s="574"/>
      <c r="K350" s="572"/>
      <c r="L350" s="572"/>
      <c r="M350" s="572"/>
      <c r="N350" s="578" t="str">
        <f t="shared" si="12"/>
        <v/>
      </c>
    </row>
    <row r="351" spans="1:14" ht="19.5" customHeight="1">
      <c r="A351" s="560" t="str">
        <f t="shared" si="13"/>
        <v/>
      </c>
      <c r="B351" s="567"/>
      <c r="C351" s="568"/>
      <c r="D351" s="576"/>
      <c r="E351" s="573"/>
      <c r="F351" s="570"/>
      <c r="G351" s="575"/>
      <c r="H351" s="574"/>
      <c r="I351" s="572"/>
      <c r="J351" s="574"/>
      <c r="K351" s="572"/>
      <c r="L351" s="572"/>
      <c r="M351" s="572"/>
      <c r="N351" s="578" t="str">
        <f t="shared" si="12"/>
        <v/>
      </c>
    </row>
    <row r="352" spans="1:14" ht="19.5" customHeight="1">
      <c r="A352" s="560" t="str">
        <f t="shared" si="13"/>
        <v/>
      </c>
      <c r="B352" s="567"/>
      <c r="C352" s="568"/>
      <c r="D352" s="576"/>
      <c r="E352" s="573"/>
      <c r="F352" s="570"/>
      <c r="G352" s="575"/>
      <c r="H352" s="574"/>
      <c r="I352" s="572"/>
      <c r="J352" s="574"/>
      <c r="K352" s="572"/>
      <c r="L352" s="572"/>
      <c r="M352" s="572"/>
      <c r="N352" s="578" t="str">
        <f t="shared" si="12"/>
        <v/>
      </c>
    </row>
    <row r="353" spans="1:14" ht="19.5" customHeight="1">
      <c r="A353" s="560" t="str">
        <f t="shared" si="13"/>
        <v/>
      </c>
      <c r="B353" s="567"/>
      <c r="C353" s="568"/>
      <c r="D353" s="576"/>
      <c r="E353" s="573"/>
      <c r="F353" s="570"/>
      <c r="G353" s="575"/>
      <c r="H353" s="574"/>
      <c r="I353" s="572"/>
      <c r="J353" s="574"/>
      <c r="K353" s="572"/>
      <c r="L353" s="572"/>
      <c r="M353" s="572"/>
      <c r="N353" s="578" t="str">
        <f t="shared" si="12"/>
        <v/>
      </c>
    </row>
    <row r="354" spans="1:14" ht="19.5" customHeight="1">
      <c r="A354" s="560" t="str">
        <f t="shared" si="13"/>
        <v/>
      </c>
      <c r="B354" s="567"/>
      <c r="C354" s="568"/>
      <c r="D354" s="576"/>
      <c r="E354" s="573"/>
      <c r="F354" s="570"/>
      <c r="G354" s="575"/>
      <c r="H354" s="574"/>
      <c r="I354" s="572"/>
      <c r="J354" s="574"/>
      <c r="K354" s="572"/>
      <c r="L354" s="572"/>
      <c r="M354" s="572"/>
      <c r="N354" s="578" t="str">
        <f t="shared" si="12"/>
        <v/>
      </c>
    </row>
    <row r="355" spans="1:14" ht="19.5" customHeight="1">
      <c r="A355" s="560" t="str">
        <f t="shared" si="13"/>
        <v/>
      </c>
      <c r="B355" s="567"/>
      <c r="C355" s="568"/>
      <c r="D355" s="576"/>
      <c r="E355" s="573"/>
      <c r="F355" s="570"/>
      <c r="G355" s="575"/>
      <c r="H355" s="574"/>
      <c r="I355" s="572"/>
      <c r="J355" s="574"/>
      <c r="K355" s="572"/>
      <c r="L355" s="572"/>
      <c r="M355" s="572"/>
      <c r="N355" s="578" t="str">
        <f t="shared" si="12"/>
        <v/>
      </c>
    </row>
    <row r="356" spans="1:14" ht="19.5" customHeight="1">
      <c r="A356" s="560" t="str">
        <f t="shared" si="13"/>
        <v/>
      </c>
      <c r="B356" s="567"/>
      <c r="C356" s="568"/>
      <c r="D356" s="576"/>
      <c r="E356" s="573"/>
      <c r="F356" s="570"/>
      <c r="G356" s="575"/>
      <c r="H356" s="574"/>
      <c r="I356" s="572"/>
      <c r="J356" s="574"/>
      <c r="K356" s="572"/>
      <c r="L356" s="572"/>
      <c r="M356" s="572"/>
      <c r="N356" s="578" t="str">
        <f t="shared" si="12"/>
        <v/>
      </c>
    </row>
    <row r="357" spans="1:14" ht="19.5" customHeight="1">
      <c r="A357" s="560" t="str">
        <f t="shared" si="13"/>
        <v/>
      </c>
      <c r="B357" s="567"/>
      <c r="C357" s="568"/>
      <c r="D357" s="576"/>
      <c r="E357" s="573"/>
      <c r="F357" s="570"/>
      <c r="G357" s="575"/>
      <c r="H357" s="574"/>
      <c r="I357" s="572"/>
      <c r="J357" s="574"/>
      <c r="K357" s="572"/>
      <c r="L357" s="572"/>
      <c r="M357" s="572"/>
      <c r="N357" s="578" t="str">
        <f t="shared" si="12"/>
        <v/>
      </c>
    </row>
    <row r="358" spans="1:14" ht="19.5" customHeight="1">
      <c r="A358" s="560" t="str">
        <f t="shared" si="13"/>
        <v/>
      </c>
      <c r="B358" s="567"/>
      <c r="C358" s="568"/>
      <c r="D358" s="576"/>
      <c r="E358" s="573"/>
      <c r="F358" s="570"/>
      <c r="G358" s="575"/>
      <c r="H358" s="574"/>
      <c r="I358" s="572"/>
      <c r="J358" s="574"/>
      <c r="K358" s="572"/>
      <c r="L358" s="572"/>
      <c r="M358" s="572"/>
      <c r="N358" s="578" t="str">
        <f t="shared" si="12"/>
        <v/>
      </c>
    </row>
    <row r="359" spans="1:14" ht="19.5" customHeight="1">
      <c r="A359" s="560" t="str">
        <f t="shared" si="13"/>
        <v/>
      </c>
      <c r="B359" s="567"/>
      <c r="C359" s="568"/>
      <c r="D359" s="576"/>
      <c r="E359" s="573"/>
      <c r="F359" s="570"/>
      <c r="G359" s="575"/>
      <c r="H359" s="574"/>
      <c r="I359" s="572"/>
      <c r="J359" s="574"/>
      <c r="K359" s="572"/>
      <c r="L359" s="572"/>
      <c r="M359" s="572"/>
      <c r="N359" s="578" t="str">
        <f t="shared" si="12"/>
        <v/>
      </c>
    </row>
    <row r="360" spans="1:14" ht="19.5" customHeight="1">
      <c r="A360" s="560" t="str">
        <f t="shared" si="13"/>
        <v/>
      </c>
      <c r="B360" s="567"/>
      <c r="C360" s="568"/>
      <c r="D360" s="576"/>
      <c r="E360" s="573"/>
      <c r="F360" s="570"/>
      <c r="G360" s="575"/>
      <c r="H360" s="574"/>
      <c r="I360" s="572"/>
      <c r="J360" s="574"/>
      <c r="K360" s="572"/>
      <c r="L360" s="572"/>
      <c r="M360" s="572"/>
      <c r="N360" s="578" t="str">
        <f t="shared" si="12"/>
        <v/>
      </c>
    </row>
    <row r="361" spans="1:14" ht="19.5" customHeight="1">
      <c r="A361" s="560" t="str">
        <f t="shared" si="13"/>
        <v/>
      </c>
      <c r="B361" s="567"/>
      <c r="C361" s="568"/>
      <c r="D361" s="576"/>
      <c r="E361" s="573"/>
      <c r="F361" s="570"/>
      <c r="G361" s="575"/>
      <c r="H361" s="574"/>
      <c r="I361" s="572"/>
      <c r="J361" s="574"/>
      <c r="K361" s="572"/>
      <c r="L361" s="572"/>
      <c r="M361" s="572"/>
      <c r="N361" s="578" t="str">
        <f t="shared" si="12"/>
        <v/>
      </c>
    </row>
    <row r="362" spans="1:14" ht="19.5" customHeight="1">
      <c r="A362" s="560" t="str">
        <f t="shared" si="13"/>
        <v/>
      </c>
      <c r="B362" s="567"/>
      <c r="C362" s="568"/>
      <c r="D362" s="576"/>
      <c r="E362" s="573"/>
      <c r="F362" s="570"/>
      <c r="G362" s="575"/>
      <c r="H362" s="574"/>
      <c r="I362" s="572"/>
      <c r="J362" s="574"/>
      <c r="K362" s="572"/>
      <c r="L362" s="572"/>
      <c r="M362" s="572"/>
      <c r="N362" s="578" t="str">
        <f t="shared" si="12"/>
        <v/>
      </c>
    </row>
    <row r="363" spans="1:14" ht="19.5" customHeight="1">
      <c r="A363" s="560" t="str">
        <f t="shared" si="13"/>
        <v/>
      </c>
      <c r="B363" s="567"/>
      <c r="C363" s="568"/>
      <c r="D363" s="576"/>
      <c r="E363" s="573"/>
      <c r="F363" s="570"/>
      <c r="G363" s="575"/>
      <c r="H363" s="574"/>
      <c r="I363" s="572"/>
      <c r="J363" s="574"/>
      <c r="K363" s="572"/>
      <c r="L363" s="572"/>
      <c r="M363" s="572"/>
      <c r="N363" s="578" t="str">
        <f t="shared" si="12"/>
        <v/>
      </c>
    </row>
    <row r="364" spans="1:14" ht="19.5" customHeight="1">
      <c r="A364" s="560" t="str">
        <f t="shared" si="13"/>
        <v/>
      </c>
      <c r="B364" s="567"/>
      <c r="C364" s="568"/>
      <c r="D364" s="576"/>
      <c r="E364" s="573"/>
      <c r="F364" s="570"/>
      <c r="G364" s="575"/>
      <c r="H364" s="574"/>
      <c r="I364" s="572"/>
      <c r="J364" s="574"/>
      <c r="K364" s="572"/>
      <c r="L364" s="572"/>
      <c r="M364" s="572"/>
      <c r="N364" s="578" t="str">
        <f t="shared" si="12"/>
        <v/>
      </c>
    </row>
    <row r="365" spans="1:14" ht="19.5" customHeight="1">
      <c r="A365" s="560" t="str">
        <f t="shared" si="13"/>
        <v/>
      </c>
      <c r="B365" s="567"/>
      <c r="C365" s="568"/>
      <c r="D365" s="576"/>
      <c r="E365" s="573"/>
      <c r="F365" s="570"/>
      <c r="G365" s="575"/>
      <c r="H365" s="574"/>
      <c r="I365" s="572"/>
      <c r="J365" s="574"/>
      <c r="K365" s="572"/>
      <c r="L365" s="572"/>
      <c r="M365" s="572"/>
      <c r="N365" s="578" t="str">
        <f t="shared" si="12"/>
        <v/>
      </c>
    </row>
    <row r="366" spans="1:14" ht="19.5" customHeight="1">
      <c r="A366" s="560" t="str">
        <f t="shared" si="13"/>
        <v/>
      </c>
      <c r="B366" s="567"/>
      <c r="C366" s="568"/>
      <c r="D366" s="576"/>
      <c r="E366" s="573"/>
      <c r="F366" s="570"/>
      <c r="G366" s="575"/>
      <c r="H366" s="574"/>
      <c r="I366" s="572"/>
      <c r="J366" s="574"/>
      <c r="K366" s="572"/>
      <c r="L366" s="572"/>
      <c r="M366" s="572"/>
      <c r="N366" s="578" t="str">
        <f t="shared" ref="N366:N429" si="14">IF(A366&lt;&gt;"",HYPERLINK("#"&amp;A366&amp;"!A1","跳转"),"")</f>
        <v/>
      </c>
    </row>
    <row r="367" spans="1:14" ht="19.5" customHeight="1">
      <c r="A367" s="560" t="str">
        <f t="shared" si="13"/>
        <v/>
      </c>
      <c r="B367" s="567"/>
      <c r="C367" s="568"/>
      <c r="D367" s="576"/>
      <c r="E367" s="573"/>
      <c r="F367" s="570"/>
      <c r="G367" s="575"/>
      <c r="H367" s="574"/>
      <c r="I367" s="572"/>
      <c r="J367" s="574"/>
      <c r="K367" s="572"/>
      <c r="L367" s="572"/>
      <c r="M367" s="572"/>
      <c r="N367" s="578" t="str">
        <f t="shared" si="14"/>
        <v/>
      </c>
    </row>
    <row r="368" spans="1:14" ht="19.5" customHeight="1">
      <c r="A368" s="560" t="str">
        <f t="shared" si="13"/>
        <v/>
      </c>
      <c r="B368" s="567"/>
      <c r="C368" s="568"/>
      <c r="D368" s="576"/>
      <c r="E368" s="573"/>
      <c r="F368" s="570"/>
      <c r="G368" s="575"/>
      <c r="H368" s="574"/>
      <c r="I368" s="572"/>
      <c r="J368" s="574"/>
      <c r="K368" s="572"/>
      <c r="L368" s="572"/>
      <c r="M368" s="572"/>
      <c r="N368" s="578" t="str">
        <f t="shared" si="14"/>
        <v/>
      </c>
    </row>
    <row r="369" spans="1:14" ht="19.5" customHeight="1">
      <c r="A369" s="560" t="str">
        <f t="shared" si="13"/>
        <v/>
      </c>
      <c r="B369" s="567"/>
      <c r="C369" s="568"/>
      <c r="D369" s="576"/>
      <c r="E369" s="573"/>
      <c r="F369" s="570"/>
      <c r="G369" s="575"/>
      <c r="H369" s="574"/>
      <c r="I369" s="572"/>
      <c r="J369" s="574"/>
      <c r="K369" s="572"/>
      <c r="L369" s="572"/>
      <c r="M369" s="572"/>
      <c r="N369" s="578" t="str">
        <f t="shared" si="14"/>
        <v/>
      </c>
    </row>
    <row r="370" spans="1:14" ht="19.5" customHeight="1">
      <c r="A370" s="560" t="str">
        <f t="shared" si="13"/>
        <v/>
      </c>
      <c r="B370" s="567"/>
      <c r="C370" s="568"/>
      <c r="D370" s="576"/>
      <c r="E370" s="573"/>
      <c r="F370" s="570"/>
      <c r="G370" s="575"/>
      <c r="H370" s="574"/>
      <c r="I370" s="572"/>
      <c r="J370" s="574"/>
      <c r="K370" s="572"/>
      <c r="L370" s="572"/>
      <c r="M370" s="572"/>
      <c r="N370" s="578" t="str">
        <f t="shared" si="14"/>
        <v/>
      </c>
    </row>
    <row r="371" spans="1:14" ht="19.5" customHeight="1">
      <c r="A371" s="560" t="str">
        <f t="shared" si="13"/>
        <v/>
      </c>
      <c r="B371" s="567"/>
      <c r="C371" s="568"/>
      <c r="D371" s="576"/>
      <c r="E371" s="573"/>
      <c r="F371" s="570"/>
      <c r="G371" s="575"/>
      <c r="H371" s="574"/>
      <c r="I371" s="572"/>
      <c r="J371" s="574"/>
      <c r="K371" s="572"/>
      <c r="L371" s="572"/>
      <c r="M371" s="572"/>
      <c r="N371" s="578" t="str">
        <f t="shared" si="14"/>
        <v/>
      </c>
    </row>
    <row r="372" spans="1:14" ht="19.5" customHeight="1">
      <c r="A372" s="560" t="str">
        <f t="shared" si="13"/>
        <v/>
      </c>
      <c r="B372" s="567"/>
      <c r="C372" s="568"/>
      <c r="D372" s="576"/>
      <c r="E372" s="573"/>
      <c r="F372" s="570"/>
      <c r="G372" s="575"/>
      <c r="H372" s="574"/>
      <c r="I372" s="572"/>
      <c r="J372" s="574"/>
      <c r="K372" s="572"/>
      <c r="L372" s="572"/>
      <c r="M372" s="572"/>
      <c r="N372" s="578" t="str">
        <f t="shared" si="14"/>
        <v/>
      </c>
    </row>
    <row r="373" spans="1:14" ht="19.5" customHeight="1">
      <c r="A373" s="560" t="str">
        <f t="shared" si="13"/>
        <v/>
      </c>
      <c r="B373" s="567"/>
      <c r="C373" s="568"/>
      <c r="D373" s="576"/>
      <c r="E373" s="573"/>
      <c r="F373" s="570"/>
      <c r="G373" s="575"/>
      <c r="H373" s="574"/>
      <c r="I373" s="572"/>
      <c r="J373" s="574"/>
      <c r="K373" s="572"/>
      <c r="L373" s="572"/>
      <c r="M373" s="572"/>
      <c r="N373" s="578" t="str">
        <f t="shared" si="14"/>
        <v/>
      </c>
    </row>
    <row r="374" spans="1:14" ht="19.5" customHeight="1">
      <c r="A374" s="560" t="str">
        <f t="shared" ref="A374:A437" si="15">IF(C374&lt;&gt;"",ROW(C374)-1,"")</f>
        <v/>
      </c>
      <c r="B374" s="567"/>
      <c r="C374" s="568"/>
      <c r="D374" s="576"/>
      <c r="E374" s="573"/>
      <c r="F374" s="570"/>
      <c r="G374" s="575"/>
      <c r="H374" s="574"/>
      <c r="I374" s="572"/>
      <c r="J374" s="574"/>
      <c r="K374" s="572"/>
      <c r="L374" s="572"/>
      <c r="M374" s="572"/>
      <c r="N374" s="578" t="str">
        <f t="shared" si="14"/>
        <v/>
      </c>
    </row>
    <row r="375" spans="1:14" ht="19.5" customHeight="1">
      <c r="A375" s="560" t="str">
        <f t="shared" si="15"/>
        <v/>
      </c>
      <c r="B375" s="567"/>
      <c r="C375" s="568"/>
      <c r="D375" s="576"/>
      <c r="E375" s="573"/>
      <c r="F375" s="570"/>
      <c r="G375" s="575"/>
      <c r="H375" s="574"/>
      <c r="I375" s="572"/>
      <c r="J375" s="574"/>
      <c r="K375" s="572"/>
      <c r="L375" s="572"/>
      <c r="M375" s="572"/>
      <c r="N375" s="578" t="str">
        <f t="shared" si="14"/>
        <v/>
      </c>
    </row>
    <row r="376" spans="1:14" ht="19.5" customHeight="1">
      <c r="A376" s="560" t="str">
        <f t="shared" si="15"/>
        <v/>
      </c>
      <c r="B376" s="567"/>
      <c r="C376" s="568"/>
      <c r="D376" s="576"/>
      <c r="E376" s="573"/>
      <c r="F376" s="570"/>
      <c r="G376" s="575"/>
      <c r="H376" s="574"/>
      <c r="I376" s="572"/>
      <c r="J376" s="574"/>
      <c r="K376" s="572"/>
      <c r="L376" s="572"/>
      <c r="M376" s="572"/>
      <c r="N376" s="578" t="str">
        <f t="shared" si="14"/>
        <v/>
      </c>
    </row>
    <row r="377" spans="1:14" ht="19.5" customHeight="1">
      <c r="A377" s="560" t="str">
        <f t="shared" si="15"/>
        <v/>
      </c>
      <c r="B377" s="567"/>
      <c r="C377" s="568"/>
      <c r="D377" s="576"/>
      <c r="E377" s="573"/>
      <c r="F377" s="570"/>
      <c r="G377" s="575"/>
      <c r="H377" s="574"/>
      <c r="I377" s="572"/>
      <c r="J377" s="574"/>
      <c r="K377" s="572"/>
      <c r="L377" s="572"/>
      <c r="M377" s="572"/>
      <c r="N377" s="578" t="str">
        <f t="shared" si="14"/>
        <v/>
      </c>
    </row>
    <row r="378" spans="1:14" ht="19.5" customHeight="1">
      <c r="A378" s="560" t="str">
        <f t="shared" si="15"/>
        <v/>
      </c>
      <c r="B378" s="567"/>
      <c r="C378" s="568"/>
      <c r="D378" s="576"/>
      <c r="E378" s="573"/>
      <c r="F378" s="570"/>
      <c r="G378" s="575"/>
      <c r="H378" s="574"/>
      <c r="I378" s="572"/>
      <c r="J378" s="574"/>
      <c r="K378" s="572"/>
      <c r="L378" s="572"/>
      <c r="M378" s="572"/>
      <c r="N378" s="578" t="str">
        <f t="shared" si="14"/>
        <v/>
      </c>
    </row>
    <row r="379" spans="1:14" ht="19.5" customHeight="1">
      <c r="A379" s="560" t="str">
        <f t="shared" si="15"/>
        <v/>
      </c>
      <c r="B379" s="567"/>
      <c r="C379" s="568"/>
      <c r="D379" s="576"/>
      <c r="E379" s="573"/>
      <c r="F379" s="570"/>
      <c r="G379" s="575"/>
      <c r="H379" s="574"/>
      <c r="I379" s="572"/>
      <c r="J379" s="574"/>
      <c r="K379" s="572"/>
      <c r="L379" s="572"/>
      <c r="M379" s="572"/>
      <c r="N379" s="578" t="str">
        <f t="shared" si="14"/>
        <v/>
      </c>
    </row>
    <row r="380" spans="1:14" ht="19.5" customHeight="1">
      <c r="A380" s="560" t="str">
        <f t="shared" si="15"/>
        <v/>
      </c>
      <c r="B380" s="567"/>
      <c r="C380" s="568"/>
      <c r="D380" s="576"/>
      <c r="E380" s="573"/>
      <c r="F380" s="570"/>
      <c r="G380" s="575"/>
      <c r="H380" s="574"/>
      <c r="I380" s="572"/>
      <c r="J380" s="574"/>
      <c r="K380" s="572"/>
      <c r="L380" s="572"/>
      <c r="M380" s="572"/>
      <c r="N380" s="578" t="str">
        <f t="shared" si="14"/>
        <v/>
      </c>
    </row>
    <row r="381" spans="1:14" ht="19.5" customHeight="1">
      <c r="A381" s="560" t="str">
        <f t="shared" si="15"/>
        <v/>
      </c>
      <c r="B381" s="567"/>
      <c r="C381" s="568"/>
      <c r="D381" s="576"/>
      <c r="E381" s="573"/>
      <c r="F381" s="570"/>
      <c r="G381" s="575"/>
      <c r="H381" s="574"/>
      <c r="I381" s="572"/>
      <c r="J381" s="574"/>
      <c r="K381" s="572"/>
      <c r="L381" s="572"/>
      <c r="M381" s="572"/>
      <c r="N381" s="578" t="str">
        <f t="shared" si="14"/>
        <v/>
      </c>
    </row>
    <row r="382" spans="1:14" ht="19.5" customHeight="1">
      <c r="A382" s="560" t="str">
        <f t="shared" si="15"/>
        <v/>
      </c>
      <c r="B382" s="567"/>
      <c r="C382" s="568"/>
      <c r="D382" s="576"/>
      <c r="E382" s="573"/>
      <c r="F382" s="570"/>
      <c r="G382" s="575"/>
      <c r="H382" s="574"/>
      <c r="I382" s="572"/>
      <c r="J382" s="574"/>
      <c r="K382" s="572"/>
      <c r="L382" s="572"/>
      <c r="M382" s="572"/>
      <c r="N382" s="578" t="str">
        <f t="shared" si="14"/>
        <v/>
      </c>
    </row>
    <row r="383" spans="1:14" ht="19.5" customHeight="1">
      <c r="A383" s="560" t="str">
        <f t="shared" si="15"/>
        <v/>
      </c>
      <c r="B383" s="567"/>
      <c r="C383" s="568"/>
      <c r="D383" s="576"/>
      <c r="E383" s="573"/>
      <c r="F383" s="570"/>
      <c r="G383" s="575"/>
      <c r="H383" s="574"/>
      <c r="I383" s="572"/>
      <c r="J383" s="574"/>
      <c r="K383" s="572"/>
      <c r="L383" s="572"/>
      <c r="M383" s="572"/>
      <c r="N383" s="578" t="str">
        <f t="shared" si="14"/>
        <v/>
      </c>
    </row>
    <row r="384" spans="1:14" ht="19.5" customHeight="1">
      <c r="A384" s="560" t="str">
        <f t="shared" si="15"/>
        <v/>
      </c>
      <c r="B384" s="567"/>
      <c r="C384" s="568"/>
      <c r="D384" s="576"/>
      <c r="E384" s="573"/>
      <c r="F384" s="570"/>
      <c r="G384" s="575"/>
      <c r="H384" s="574"/>
      <c r="I384" s="572"/>
      <c r="J384" s="574"/>
      <c r="K384" s="572"/>
      <c r="L384" s="572"/>
      <c r="M384" s="572"/>
      <c r="N384" s="578" t="str">
        <f t="shared" si="14"/>
        <v/>
      </c>
    </row>
    <row r="385" spans="1:14" ht="19.5" customHeight="1">
      <c r="A385" s="560" t="str">
        <f t="shared" si="15"/>
        <v/>
      </c>
      <c r="B385" s="567"/>
      <c r="C385" s="568"/>
      <c r="D385" s="576"/>
      <c r="E385" s="573"/>
      <c r="F385" s="570"/>
      <c r="G385" s="575"/>
      <c r="H385" s="574"/>
      <c r="I385" s="572"/>
      <c r="J385" s="574"/>
      <c r="K385" s="572"/>
      <c r="L385" s="572"/>
      <c r="M385" s="572"/>
      <c r="N385" s="578" t="str">
        <f t="shared" si="14"/>
        <v/>
      </c>
    </row>
    <row r="386" spans="1:14" ht="19.5" customHeight="1">
      <c r="A386" s="560" t="str">
        <f t="shared" si="15"/>
        <v/>
      </c>
      <c r="B386" s="567"/>
      <c r="C386" s="568"/>
      <c r="D386" s="576"/>
      <c r="E386" s="573"/>
      <c r="F386" s="570"/>
      <c r="G386" s="575"/>
      <c r="H386" s="574"/>
      <c r="I386" s="572"/>
      <c r="J386" s="574"/>
      <c r="K386" s="572"/>
      <c r="L386" s="572"/>
      <c r="M386" s="572"/>
      <c r="N386" s="578" t="str">
        <f t="shared" si="14"/>
        <v/>
      </c>
    </row>
    <row r="387" spans="1:14" ht="19.5" customHeight="1">
      <c r="A387" s="560" t="str">
        <f t="shared" si="15"/>
        <v/>
      </c>
      <c r="B387" s="567"/>
      <c r="C387" s="568"/>
      <c r="D387" s="576"/>
      <c r="E387" s="573"/>
      <c r="F387" s="570"/>
      <c r="G387" s="575"/>
      <c r="H387" s="574"/>
      <c r="I387" s="572"/>
      <c r="J387" s="574"/>
      <c r="K387" s="572"/>
      <c r="L387" s="572"/>
      <c r="M387" s="572"/>
      <c r="N387" s="578" t="str">
        <f t="shared" si="14"/>
        <v/>
      </c>
    </row>
    <row r="388" spans="1:14" ht="19.5" customHeight="1">
      <c r="A388" s="560" t="str">
        <f t="shared" si="15"/>
        <v/>
      </c>
      <c r="B388" s="567"/>
      <c r="C388" s="568"/>
      <c r="D388" s="576"/>
      <c r="E388" s="573"/>
      <c r="F388" s="570"/>
      <c r="G388" s="575"/>
      <c r="H388" s="574"/>
      <c r="I388" s="572"/>
      <c r="J388" s="574"/>
      <c r="K388" s="572"/>
      <c r="L388" s="572"/>
      <c r="M388" s="572"/>
      <c r="N388" s="578" t="str">
        <f t="shared" si="14"/>
        <v/>
      </c>
    </row>
    <row r="389" spans="1:14" ht="19.5" customHeight="1">
      <c r="A389" s="560" t="str">
        <f t="shared" si="15"/>
        <v/>
      </c>
      <c r="B389" s="567"/>
      <c r="C389" s="568"/>
      <c r="D389" s="576"/>
      <c r="E389" s="573"/>
      <c r="F389" s="570"/>
      <c r="G389" s="575"/>
      <c r="H389" s="574"/>
      <c r="I389" s="572"/>
      <c r="J389" s="574"/>
      <c r="K389" s="572"/>
      <c r="L389" s="572"/>
      <c r="M389" s="572"/>
      <c r="N389" s="578" t="str">
        <f t="shared" si="14"/>
        <v/>
      </c>
    </row>
    <row r="390" spans="1:14" ht="19.5" customHeight="1">
      <c r="A390" s="560" t="str">
        <f t="shared" si="15"/>
        <v/>
      </c>
      <c r="B390" s="567"/>
      <c r="C390" s="568"/>
      <c r="D390" s="576"/>
      <c r="E390" s="573"/>
      <c r="F390" s="570"/>
      <c r="G390" s="575"/>
      <c r="H390" s="574"/>
      <c r="I390" s="572"/>
      <c r="J390" s="574"/>
      <c r="K390" s="572"/>
      <c r="L390" s="572"/>
      <c r="M390" s="572"/>
      <c r="N390" s="578" t="str">
        <f t="shared" si="14"/>
        <v/>
      </c>
    </row>
    <row r="391" spans="1:14" ht="19.5" customHeight="1">
      <c r="A391" s="560" t="str">
        <f t="shared" si="15"/>
        <v/>
      </c>
      <c r="B391" s="567"/>
      <c r="C391" s="568"/>
      <c r="D391" s="576"/>
      <c r="E391" s="573"/>
      <c r="F391" s="570"/>
      <c r="G391" s="575"/>
      <c r="H391" s="574"/>
      <c r="I391" s="572"/>
      <c r="J391" s="574"/>
      <c r="K391" s="572"/>
      <c r="L391" s="572"/>
      <c r="M391" s="572"/>
      <c r="N391" s="578" t="str">
        <f t="shared" si="14"/>
        <v/>
      </c>
    </row>
    <row r="392" spans="1:14" ht="19.5" customHeight="1">
      <c r="A392" s="560" t="str">
        <f t="shared" si="15"/>
        <v/>
      </c>
      <c r="B392" s="567"/>
      <c r="C392" s="568"/>
      <c r="D392" s="576"/>
      <c r="E392" s="573"/>
      <c r="F392" s="570"/>
      <c r="G392" s="575"/>
      <c r="H392" s="574"/>
      <c r="I392" s="572"/>
      <c r="J392" s="574"/>
      <c r="K392" s="572"/>
      <c r="L392" s="572"/>
      <c r="M392" s="572"/>
      <c r="N392" s="578" t="str">
        <f t="shared" si="14"/>
        <v/>
      </c>
    </row>
    <row r="393" spans="1:14" ht="19.5" customHeight="1">
      <c r="A393" s="560" t="str">
        <f t="shared" si="15"/>
        <v/>
      </c>
      <c r="B393" s="567"/>
      <c r="C393" s="568"/>
      <c r="D393" s="576"/>
      <c r="E393" s="573"/>
      <c r="F393" s="570"/>
      <c r="G393" s="575"/>
      <c r="H393" s="574"/>
      <c r="I393" s="572"/>
      <c r="J393" s="574"/>
      <c r="K393" s="572"/>
      <c r="L393" s="572"/>
      <c r="M393" s="572"/>
      <c r="N393" s="578" t="str">
        <f t="shared" si="14"/>
        <v/>
      </c>
    </row>
    <row r="394" spans="1:14" ht="19.5" customHeight="1">
      <c r="A394" s="560" t="str">
        <f t="shared" si="15"/>
        <v/>
      </c>
      <c r="B394" s="567"/>
      <c r="C394" s="568"/>
      <c r="D394" s="576"/>
      <c r="E394" s="573"/>
      <c r="F394" s="570"/>
      <c r="G394" s="575"/>
      <c r="H394" s="574"/>
      <c r="I394" s="572"/>
      <c r="J394" s="574"/>
      <c r="K394" s="572"/>
      <c r="L394" s="572"/>
      <c r="M394" s="572"/>
      <c r="N394" s="578" t="str">
        <f t="shared" si="14"/>
        <v/>
      </c>
    </row>
    <row r="395" spans="1:14" ht="19.5" customHeight="1">
      <c r="A395" s="560" t="str">
        <f t="shared" si="15"/>
        <v/>
      </c>
      <c r="B395" s="567"/>
      <c r="C395" s="568"/>
      <c r="D395" s="576"/>
      <c r="E395" s="573"/>
      <c r="F395" s="570"/>
      <c r="G395" s="575"/>
      <c r="H395" s="574"/>
      <c r="I395" s="572"/>
      <c r="J395" s="574"/>
      <c r="K395" s="572"/>
      <c r="L395" s="572"/>
      <c r="M395" s="572"/>
      <c r="N395" s="578" t="str">
        <f t="shared" si="14"/>
        <v/>
      </c>
    </row>
    <row r="396" spans="1:14" ht="19.5" customHeight="1">
      <c r="A396" s="560" t="str">
        <f t="shared" si="15"/>
        <v/>
      </c>
      <c r="B396" s="567"/>
      <c r="C396" s="568"/>
      <c r="D396" s="576"/>
      <c r="E396" s="573"/>
      <c r="F396" s="570"/>
      <c r="G396" s="575"/>
      <c r="H396" s="574"/>
      <c r="I396" s="572"/>
      <c r="J396" s="574"/>
      <c r="K396" s="572"/>
      <c r="L396" s="572"/>
      <c r="M396" s="572"/>
      <c r="N396" s="578" t="str">
        <f t="shared" si="14"/>
        <v/>
      </c>
    </row>
    <row r="397" spans="1:14" ht="19.5" customHeight="1">
      <c r="A397" s="560" t="str">
        <f t="shared" si="15"/>
        <v/>
      </c>
      <c r="B397" s="567"/>
      <c r="C397" s="568"/>
      <c r="D397" s="576"/>
      <c r="E397" s="573"/>
      <c r="F397" s="570"/>
      <c r="G397" s="575"/>
      <c r="H397" s="574"/>
      <c r="I397" s="572"/>
      <c r="J397" s="574"/>
      <c r="K397" s="572"/>
      <c r="L397" s="572"/>
      <c r="M397" s="572"/>
      <c r="N397" s="578" t="str">
        <f t="shared" si="14"/>
        <v/>
      </c>
    </row>
    <row r="398" spans="1:14" ht="19.5" customHeight="1">
      <c r="A398" s="560" t="str">
        <f t="shared" si="15"/>
        <v/>
      </c>
      <c r="B398" s="567"/>
      <c r="C398" s="568"/>
      <c r="D398" s="576"/>
      <c r="E398" s="573"/>
      <c r="F398" s="570"/>
      <c r="G398" s="575"/>
      <c r="H398" s="574"/>
      <c r="I398" s="572"/>
      <c r="J398" s="574"/>
      <c r="K398" s="572"/>
      <c r="L398" s="572"/>
      <c r="M398" s="572"/>
      <c r="N398" s="578" t="str">
        <f t="shared" si="14"/>
        <v/>
      </c>
    </row>
    <row r="399" spans="1:14" ht="19.5" customHeight="1">
      <c r="A399" s="560" t="str">
        <f t="shared" si="15"/>
        <v/>
      </c>
      <c r="B399" s="567"/>
      <c r="C399" s="568"/>
      <c r="D399" s="576"/>
      <c r="E399" s="573"/>
      <c r="F399" s="570"/>
      <c r="G399" s="575"/>
      <c r="H399" s="574"/>
      <c r="I399" s="572"/>
      <c r="J399" s="574"/>
      <c r="K399" s="572"/>
      <c r="L399" s="572"/>
      <c r="M399" s="572"/>
      <c r="N399" s="578" t="str">
        <f t="shared" si="14"/>
        <v/>
      </c>
    </row>
    <row r="400" spans="1:14" ht="19.5" customHeight="1">
      <c r="A400" s="560" t="str">
        <f t="shared" si="15"/>
        <v/>
      </c>
      <c r="B400" s="567"/>
      <c r="C400" s="568"/>
      <c r="D400" s="576"/>
      <c r="E400" s="573"/>
      <c r="F400" s="570"/>
      <c r="G400" s="575"/>
      <c r="H400" s="574"/>
      <c r="I400" s="572"/>
      <c r="J400" s="574"/>
      <c r="K400" s="572"/>
      <c r="L400" s="572"/>
      <c r="M400" s="572"/>
      <c r="N400" s="578" t="str">
        <f t="shared" si="14"/>
        <v/>
      </c>
    </row>
    <row r="401" spans="1:14" ht="19.5" customHeight="1">
      <c r="A401" s="560" t="str">
        <f t="shared" si="15"/>
        <v/>
      </c>
      <c r="N401" s="578" t="str">
        <f t="shared" si="14"/>
        <v/>
      </c>
    </row>
    <row r="402" spans="1:14" ht="19.5" customHeight="1">
      <c r="A402" s="560" t="str">
        <f t="shared" si="15"/>
        <v/>
      </c>
      <c r="N402" s="578" t="str">
        <f t="shared" si="14"/>
        <v/>
      </c>
    </row>
    <row r="403" spans="1:14" ht="19.5" customHeight="1">
      <c r="A403" s="560" t="str">
        <f t="shared" si="15"/>
        <v/>
      </c>
      <c r="N403" s="578" t="str">
        <f t="shared" si="14"/>
        <v/>
      </c>
    </row>
    <row r="404" spans="1:14" ht="19.5" customHeight="1">
      <c r="A404" s="560" t="str">
        <f t="shared" si="15"/>
        <v/>
      </c>
      <c r="N404" s="578" t="str">
        <f t="shared" si="14"/>
        <v/>
      </c>
    </row>
    <row r="405" spans="1:14" ht="19.5" customHeight="1">
      <c r="A405" s="560" t="str">
        <f t="shared" si="15"/>
        <v/>
      </c>
      <c r="N405" s="578" t="str">
        <f t="shared" si="14"/>
        <v/>
      </c>
    </row>
    <row r="406" spans="1:14" ht="19.5" customHeight="1">
      <c r="A406" s="560" t="str">
        <f t="shared" si="15"/>
        <v/>
      </c>
      <c r="N406" s="578" t="str">
        <f t="shared" si="14"/>
        <v/>
      </c>
    </row>
    <row r="407" spans="1:14" ht="19.5" customHeight="1">
      <c r="A407" s="560" t="str">
        <f t="shared" si="15"/>
        <v/>
      </c>
      <c r="N407" s="578" t="str">
        <f t="shared" si="14"/>
        <v/>
      </c>
    </row>
    <row r="408" spans="1:14" ht="19.5" customHeight="1">
      <c r="A408" s="560" t="str">
        <f t="shared" si="15"/>
        <v/>
      </c>
      <c r="N408" s="578" t="str">
        <f t="shared" si="14"/>
        <v/>
      </c>
    </row>
    <row r="409" spans="1:14" ht="19.5" customHeight="1">
      <c r="A409" s="560" t="str">
        <f t="shared" si="15"/>
        <v/>
      </c>
      <c r="N409" s="578" t="str">
        <f t="shared" si="14"/>
        <v/>
      </c>
    </row>
    <row r="410" spans="1:14" ht="19.5" customHeight="1">
      <c r="A410" s="560" t="str">
        <f t="shared" si="15"/>
        <v/>
      </c>
      <c r="N410" s="578" t="str">
        <f t="shared" si="14"/>
        <v/>
      </c>
    </row>
    <row r="411" spans="1:14" ht="19.5" customHeight="1">
      <c r="A411" s="560" t="str">
        <f t="shared" si="15"/>
        <v/>
      </c>
      <c r="N411" s="578" t="str">
        <f t="shared" si="14"/>
        <v/>
      </c>
    </row>
    <row r="412" spans="1:14" ht="19.5" customHeight="1">
      <c r="A412" s="560" t="str">
        <f t="shared" si="15"/>
        <v/>
      </c>
      <c r="N412" s="578" t="str">
        <f t="shared" si="14"/>
        <v/>
      </c>
    </row>
    <row r="413" spans="1:14" ht="19.5" customHeight="1">
      <c r="A413" s="560" t="str">
        <f t="shared" si="15"/>
        <v/>
      </c>
      <c r="N413" s="578" t="str">
        <f t="shared" si="14"/>
        <v/>
      </c>
    </row>
    <row r="414" spans="1:14" ht="19.5" customHeight="1">
      <c r="A414" s="560" t="str">
        <f t="shared" si="15"/>
        <v/>
      </c>
      <c r="N414" s="578" t="str">
        <f t="shared" si="14"/>
        <v/>
      </c>
    </row>
    <row r="415" spans="1:14" ht="19.5" customHeight="1">
      <c r="A415" s="560" t="str">
        <f t="shared" si="15"/>
        <v/>
      </c>
      <c r="N415" s="578" t="str">
        <f t="shared" si="14"/>
        <v/>
      </c>
    </row>
    <row r="416" spans="1:14" ht="19.5" customHeight="1">
      <c r="A416" s="560" t="str">
        <f t="shared" si="15"/>
        <v/>
      </c>
      <c r="N416" s="578" t="str">
        <f t="shared" si="14"/>
        <v/>
      </c>
    </row>
    <row r="417" spans="1:14" ht="19.5" customHeight="1">
      <c r="A417" s="560" t="str">
        <f t="shared" si="15"/>
        <v/>
      </c>
      <c r="N417" s="578" t="str">
        <f t="shared" si="14"/>
        <v/>
      </c>
    </row>
    <row r="418" spans="1:14" ht="19.5" customHeight="1">
      <c r="A418" s="560" t="str">
        <f t="shared" si="15"/>
        <v/>
      </c>
      <c r="N418" s="578" t="str">
        <f t="shared" si="14"/>
        <v/>
      </c>
    </row>
    <row r="419" spans="1:14" ht="19.5" customHeight="1">
      <c r="A419" s="560" t="str">
        <f t="shared" si="15"/>
        <v/>
      </c>
      <c r="N419" s="578" t="str">
        <f t="shared" si="14"/>
        <v/>
      </c>
    </row>
    <row r="420" spans="1:14" ht="19.5" customHeight="1">
      <c r="A420" s="560" t="str">
        <f t="shared" si="15"/>
        <v/>
      </c>
      <c r="N420" s="578" t="str">
        <f t="shared" si="14"/>
        <v/>
      </c>
    </row>
    <row r="421" spans="1:14" ht="19.5" customHeight="1">
      <c r="A421" s="560" t="str">
        <f t="shared" si="15"/>
        <v/>
      </c>
      <c r="N421" s="578" t="str">
        <f t="shared" si="14"/>
        <v/>
      </c>
    </row>
    <row r="422" spans="1:14" ht="19.5" customHeight="1">
      <c r="A422" s="560" t="str">
        <f t="shared" si="15"/>
        <v/>
      </c>
      <c r="N422" s="578" t="str">
        <f t="shared" si="14"/>
        <v/>
      </c>
    </row>
    <row r="423" spans="1:14" ht="19.5" customHeight="1">
      <c r="A423" s="560" t="str">
        <f t="shared" si="15"/>
        <v/>
      </c>
      <c r="N423" s="578" t="str">
        <f t="shared" si="14"/>
        <v/>
      </c>
    </row>
    <row r="424" spans="1:14" ht="19.5" customHeight="1">
      <c r="A424" s="560" t="str">
        <f t="shared" si="15"/>
        <v/>
      </c>
      <c r="N424" s="578" t="str">
        <f t="shared" si="14"/>
        <v/>
      </c>
    </row>
    <row r="425" spans="1:14" ht="19.5" customHeight="1">
      <c r="A425" s="560" t="str">
        <f t="shared" si="15"/>
        <v/>
      </c>
      <c r="N425" s="578" t="str">
        <f t="shared" si="14"/>
        <v/>
      </c>
    </row>
    <row r="426" spans="1:14" ht="19.5" customHeight="1">
      <c r="A426" s="560" t="str">
        <f t="shared" si="15"/>
        <v/>
      </c>
      <c r="N426" s="578" t="str">
        <f t="shared" si="14"/>
        <v/>
      </c>
    </row>
    <row r="427" spans="1:14" ht="19.5" customHeight="1">
      <c r="A427" s="560" t="str">
        <f t="shared" si="15"/>
        <v/>
      </c>
      <c r="N427" s="578" t="str">
        <f t="shared" si="14"/>
        <v/>
      </c>
    </row>
    <row r="428" spans="1:14" ht="19.5" customHeight="1">
      <c r="A428" s="560" t="str">
        <f t="shared" si="15"/>
        <v/>
      </c>
      <c r="N428" s="578" t="str">
        <f t="shared" si="14"/>
        <v/>
      </c>
    </row>
    <row r="429" spans="1:14" ht="19.5" customHeight="1">
      <c r="A429" s="560" t="str">
        <f t="shared" si="15"/>
        <v/>
      </c>
      <c r="N429" s="578" t="str">
        <f t="shared" si="14"/>
        <v/>
      </c>
    </row>
    <row r="430" spans="1:14" ht="19.5" customHeight="1">
      <c r="A430" s="560" t="str">
        <f t="shared" si="15"/>
        <v/>
      </c>
      <c r="N430" s="578" t="str">
        <f t="shared" ref="N430:N493" si="16">IF(A430&lt;&gt;"",HYPERLINK("#"&amp;A430&amp;"!A1","跳转"),"")</f>
        <v/>
      </c>
    </row>
    <row r="431" spans="1:14" ht="19.5" customHeight="1">
      <c r="A431" s="560" t="str">
        <f t="shared" si="15"/>
        <v/>
      </c>
      <c r="N431" s="578" t="str">
        <f t="shared" si="16"/>
        <v/>
      </c>
    </row>
    <row r="432" spans="1:14" ht="19.5" customHeight="1">
      <c r="A432" s="560" t="str">
        <f t="shared" si="15"/>
        <v/>
      </c>
      <c r="N432" s="578" t="str">
        <f t="shared" si="16"/>
        <v/>
      </c>
    </row>
    <row r="433" spans="1:14" ht="19.5" customHeight="1">
      <c r="A433" s="560" t="str">
        <f t="shared" si="15"/>
        <v/>
      </c>
      <c r="N433" s="578" t="str">
        <f t="shared" si="16"/>
        <v/>
      </c>
    </row>
    <row r="434" spans="1:14" ht="19.5" customHeight="1">
      <c r="A434" s="560" t="str">
        <f t="shared" si="15"/>
        <v/>
      </c>
      <c r="N434" s="578" t="str">
        <f t="shared" si="16"/>
        <v/>
      </c>
    </row>
    <row r="435" spans="1:14" ht="19.5" customHeight="1">
      <c r="A435" s="560" t="str">
        <f t="shared" si="15"/>
        <v/>
      </c>
      <c r="N435" s="578" t="str">
        <f t="shared" si="16"/>
        <v/>
      </c>
    </row>
    <row r="436" spans="1:14" ht="19.5" customHeight="1">
      <c r="A436" s="560" t="str">
        <f t="shared" si="15"/>
        <v/>
      </c>
      <c r="N436" s="578" t="str">
        <f t="shared" si="16"/>
        <v/>
      </c>
    </row>
    <row r="437" spans="1:14" ht="19.5" customHeight="1">
      <c r="A437" s="560" t="str">
        <f t="shared" si="15"/>
        <v/>
      </c>
      <c r="N437" s="578" t="str">
        <f t="shared" si="16"/>
        <v/>
      </c>
    </row>
    <row r="438" spans="1:14" ht="19.5" customHeight="1">
      <c r="A438" s="560" t="str">
        <f t="shared" ref="A438:A501" si="17">IF(C438&lt;&gt;"",ROW(C438)-1,"")</f>
        <v/>
      </c>
      <c r="N438" s="578" t="str">
        <f t="shared" si="16"/>
        <v/>
      </c>
    </row>
    <row r="439" spans="1:14" ht="19.5" customHeight="1">
      <c r="A439" s="560" t="str">
        <f t="shared" si="17"/>
        <v/>
      </c>
      <c r="N439" s="578" t="str">
        <f t="shared" si="16"/>
        <v/>
      </c>
    </row>
    <row r="440" spans="1:14" ht="19.5" customHeight="1">
      <c r="A440" s="560" t="str">
        <f t="shared" si="17"/>
        <v/>
      </c>
      <c r="N440" s="578" t="str">
        <f t="shared" si="16"/>
        <v/>
      </c>
    </row>
    <row r="441" spans="1:14" ht="19.5" customHeight="1">
      <c r="A441" s="560" t="str">
        <f t="shared" si="17"/>
        <v/>
      </c>
      <c r="N441" s="578" t="str">
        <f t="shared" si="16"/>
        <v/>
      </c>
    </row>
    <row r="442" spans="1:14" ht="19.5" customHeight="1">
      <c r="A442" s="560" t="str">
        <f t="shared" si="17"/>
        <v/>
      </c>
      <c r="N442" s="578" t="str">
        <f t="shared" si="16"/>
        <v/>
      </c>
    </row>
    <row r="443" spans="1:14" ht="19.5" customHeight="1">
      <c r="A443" s="560" t="str">
        <f t="shared" si="17"/>
        <v/>
      </c>
      <c r="N443" s="578" t="str">
        <f t="shared" si="16"/>
        <v/>
      </c>
    </row>
    <row r="444" spans="1:14" ht="19.5" customHeight="1">
      <c r="A444" s="560" t="str">
        <f t="shared" si="17"/>
        <v/>
      </c>
      <c r="N444" s="578" t="str">
        <f t="shared" si="16"/>
        <v/>
      </c>
    </row>
    <row r="445" spans="1:14" ht="19.5" customHeight="1">
      <c r="A445" s="560" t="str">
        <f t="shared" si="17"/>
        <v/>
      </c>
      <c r="N445" s="578" t="str">
        <f t="shared" si="16"/>
        <v/>
      </c>
    </row>
    <row r="446" spans="1:14" ht="19.5" customHeight="1">
      <c r="A446" s="560" t="str">
        <f t="shared" si="17"/>
        <v/>
      </c>
      <c r="N446" s="578" t="str">
        <f t="shared" si="16"/>
        <v/>
      </c>
    </row>
    <row r="447" spans="1:14" ht="19.5" customHeight="1">
      <c r="A447" s="560" t="str">
        <f t="shared" si="17"/>
        <v/>
      </c>
      <c r="N447" s="578" t="str">
        <f t="shared" si="16"/>
        <v/>
      </c>
    </row>
    <row r="448" spans="1:14" ht="19.5" customHeight="1">
      <c r="A448" s="560" t="str">
        <f t="shared" si="17"/>
        <v/>
      </c>
      <c r="N448" s="578" t="str">
        <f t="shared" si="16"/>
        <v/>
      </c>
    </row>
    <row r="449" spans="1:14" ht="19.5" customHeight="1">
      <c r="A449" s="560" t="str">
        <f t="shared" si="17"/>
        <v/>
      </c>
      <c r="N449" s="578" t="str">
        <f t="shared" si="16"/>
        <v/>
      </c>
    </row>
    <row r="450" spans="1:14" ht="19.5" customHeight="1">
      <c r="A450" s="560" t="str">
        <f t="shared" si="17"/>
        <v/>
      </c>
      <c r="N450" s="578" t="str">
        <f t="shared" si="16"/>
        <v/>
      </c>
    </row>
    <row r="451" spans="1:14" ht="19.5" customHeight="1">
      <c r="A451" s="560" t="str">
        <f t="shared" si="17"/>
        <v/>
      </c>
      <c r="N451" s="578" t="str">
        <f t="shared" si="16"/>
        <v/>
      </c>
    </row>
    <row r="452" spans="1:14" ht="19.5" customHeight="1">
      <c r="A452" s="560" t="str">
        <f t="shared" si="17"/>
        <v/>
      </c>
      <c r="N452" s="578" t="str">
        <f t="shared" si="16"/>
        <v/>
      </c>
    </row>
    <row r="453" spans="1:14" ht="19.5" customHeight="1">
      <c r="A453" s="560" t="str">
        <f t="shared" si="17"/>
        <v/>
      </c>
      <c r="N453" s="578" t="str">
        <f t="shared" si="16"/>
        <v/>
      </c>
    </row>
    <row r="454" spans="1:14" ht="19.5" customHeight="1">
      <c r="A454" s="560" t="str">
        <f t="shared" si="17"/>
        <v/>
      </c>
      <c r="N454" s="578" t="str">
        <f t="shared" si="16"/>
        <v/>
      </c>
    </row>
    <row r="455" spans="1:14" ht="19.5" customHeight="1">
      <c r="A455" s="560" t="str">
        <f t="shared" si="17"/>
        <v/>
      </c>
      <c r="N455" s="578" t="str">
        <f t="shared" si="16"/>
        <v/>
      </c>
    </row>
    <row r="456" spans="1:14" ht="19.5" customHeight="1">
      <c r="A456" s="560" t="str">
        <f t="shared" si="17"/>
        <v/>
      </c>
      <c r="N456" s="578" t="str">
        <f t="shared" si="16"/>
        <v/>
      </c>
    </row>
    <row r="457" spans="1:14" ht="19.5" customHeight="1">
      <c r="A457" s="560" t="str">
        <f t="shared" si="17"/>
        <v/>
      </c>
      <c r="N457" s="578" t="str">
        <f t="shared" si="16"/>
        <v/>
      </c>
    </row>
    <row r="458" spans="1:14" ht="19.5" customHeight="1">
      <c r="A458" s="560" t="str">
        <f t="shared" si="17"/>
        <v/>
      </c>
      <c r="N458" s="578" t="str">
        <f t="shared" si="16"/>
        <v/>
      </c>
    </row>
    <row r="459" spans="1:14" ht="19.5" customHeight="1">
      <c r="A459" s="560" t="str">
        <f t="shared" si="17"/>
        <v/>
      </c>
      <c r="N459" s="578" t="str">
        <f t="shared" si="16"/>
        <v/>
      </c>
    </row>
    <row r="460" spans="1:14" ht="19.5" customHeight="1">
      <c r="A460" s="560" t="str">
        <f t="shared" si="17"/>
        <v/>
      </c>
      <c r="N460" s="578" t="str">
        <f t="shared" si="16"/>
        <v/>
      </c>
    </row>
    <row r="461" spans="1:14" ht="19.5" customHeight="1">
      <c r="A461" s="560" t="str">
        <f t="shared" si="17"/>
        <v/>
      </c>
      <c r="N461" s="578" t="str">
        <f t="shared" si="16"/>
        <v/>
      </c>
    </row>
    <row r="462" spans="1:14" ht="19.5" customHeight="1">
      <c r="A462" s="560" t="str">
        <f t="shared" si="17"/>
        <v/>
      </c>
      <c r="N462" s="578" t="str">
        <f t="shared" si="16"/>
        <v/>
      </c>
    </row>
    <row r="463" spans="1:14" ht="19.5" customHeight="1">
      <c r="A463" s="560" t="str">
        <f t="shared" si="17"/>
        <v/>
      </c>
      <c r="N463" s="578" t="str">
        <f t="shared" si="16"/>
        <v/>
      </c>
    </row>
    <row r="464" spans="1:14" ht="19.5" customHeight="1">
      <c r="A464" s="560" t="str">
        <f t="shared" si="17"/>
        <v/>
      </c>
      <c r="N464" s="578" t="str">
        <f t="shared" si="16"/>
        <v/>
      </c>
    </row>
    <row r="465" spans="1:14" ht="19.5" customHeight="1">
      <c r="A465" s="560" t="str">
        <f t="shared" si="17"/>
        <v/>
      </c>
      <c r="N465" s="578" t="str">
        <f t="shared" si="16"/>
        <v/>
      </c>
    </row>
    <row r="466" spans="1:14" ht="19.5" customHeight="1">
      <c r="A466" s="560" t="str">
        <f t="shared" si="17"/>
        <v/>
      </c>
      <c r="N466" s="578" t="str">
        <f t="shared" si="16"/>
        <v/>
      </c>
    </row>
    <row r="467" spans="1:14" ht="19.5" customHeight="1">
      <c r="A467" s="560" t="str">
        <f t="shared" si="17"/>
        <v/>
      </c>
      <c r="N467" s="578" t="str">
        <f t="shared" si="16"/>
        <v/>
      </c>
    </row>
    <row r="468" spans="1:14" ht="19.5" customHeight="1">
      <c r="A468" s="560" t="str">
        <f t="shared" si="17"/>
        <v/>
      </c>
      <c r="N468" s="578" t="str">
        <f t="shared" si="16"/>
        <v/>
      </c>
    </row>
    <row r="469" spans="1:14" ht="19.5" customHeight="1">
      <c r="A469" s="560" t="str">
        <f t="shared" si="17"/>
        <v/>
      </c>
      <c r="N469" s="578" t="str">
        <f t="shared" si="16"/>
        <v/>
      </c>
    </row>
    <row r="470" spans="1:14" ht="19.5" customHeight="1">
      <c r="A470" s="560" t="str">
        <f t="shared" si="17"/>
        <v/>
      </c>
      <c r="N470" s="578" t="str">
        <f t="shared" si="16"/>
        <v/>
      </c>
    </row>
    <row r="471" spans="1:14" ht="19.5" customHeight="1">
      <c r="A471" s="560" t="str">
        <f t="shared" si="17"/>
        <v/>
      </c>
      <c r="N471" s="578" t="str">
        <f t="shared" si="16"/>
        <v/>
      </c>
    </row>
    <row r="472" spans="1:14" ht="19.5" customHeight="1">
      <c r="A472" s="560" t="str">
        <f t="shared" si="17"/>
        <v/>
      </c>
      <c r="N472" s="578" t="str">
        <f t="shared" si="16"/>
        <v/>
      </c>
    </row>
    <row r="473" spans="1:14" ht="19.5" customHeight="1">
      <c r="A473" s="560" t="str">
        <f t="shared" si="17"/>
        <v/>
      </c>
      <c r="N473" s="578" t="str">
        <f t="shared" si="16"/>
        <v/>
      </c>
    </row>
    <row r="474" spans="1:14" ht="19.5" customHeight="1">
      <c r="A474" s="560" t="str">
        <f t="shared" si="17"/>
        <v/>
      </c>
      <c r="N474" s="578" t="str">
        <f t="shared" si="16"/>
        <v/>
      </c>
    </row>
    <row r="475" spans="1:14" ht="19.5" customHeight="1">
      <c r="A475" s="560" t="str">
        <f t="shared" si="17"/>
        <v/>
      </c>
      <c r="N475" s="578" t="str">
        <f t="shared" si="16"/>
        <v/>
      </c>
    </row>
    <row r="476" spans="1:14" ht="19.5" customHeight="1">
      <c r="A476" s="560" t="str">
        <f t="shared" si="17"/>
        <v/>
      </c>
      <c r="N476" s="578" t="str">
        <f t="shared" si="16"/>
        <v/>
      </c>
    </row>
    <row r="477" spans="1:14" ht="19.5" customHeight="1">
      <c r="A477" s="560" t="str">
        <f t="shared" si="17"/>
        <v/>
      </c>
      <c r="N477" s="578" t="str">
        <f t="shared" si="16"/>
        <v/>
      </c>
    </row>
    <row r="478" spans="1:14" ht="19.5" customHeight="1">
      <c r="A478" s="560" t="str">
        <f t="shared" si="17"/>
        <v/>
      </c>
      <c r="N478" s="578" t="str">
        <f t="shared" si="16"/>
        <v/>
      </c>
    </row>
    <row r="479" spans="1:14" ht="19.5" customHeight="1">
      <c r="A479" s="560" t="str">
        <f t="shared" si="17"/>
        <v/>
      </c>
      <c r="N479" s="578" t="str">
        <f t="shared" si="16"/>
        <v/>
      </c>
    </row>
    <row r="480" spans="1:14" ht="19.5" customHeight="1">
      <c r="A480" s="560" t="str">
        <f t="shared" si="17"/>
        <v/>
      </c>
      <c r="N480" s="578" t="str">
        <f t="shared" si="16"/>
        <v/>
      </c>
    </row>
    <row r="481" spans="1:14" ht="19.5" customHeight="1">
      <c r="A481" s="560" t="str">
        <f t="shared" si="17"/>
        <v/>
      </c>
      <c r="N481" s="578" t="str">
        <f t="shared" si="16"/>
        <v/>
      </c>
    </row>
    <row r="482" spans="1:14" ht="19.5" customHeight="1">
      <c r="A482" s="560" t="str">
        <f t="shared" si="17"/>
        <v/>
      </c>
      <c r="N482" s="578" t="str">
        <f t="shared" si="16"/>
        <v/>
      </c>
    </row>
    <row r="483" spans="1:14" ht="19.5" customHeight="1">
      <c r="A483" s="560" t="str">
        <f t="shared" si="17"/>
        <v/>
      </c>
      <c r="N483" s="578" t="str">
        <f t="shared" si="16"/>
        <v/>
      </c>
    </row>
    <row r="484" spans="1:14" ht="19.5" customHeight="1">
      <c r="A484" s="560" t="str">
        <f t="shared" si="17"/>
        <v/>
      </c>
      <c r="N484" s="578" t="str">
        <f t="shared" si="16"/>
        <v/>
      </c>
    </row>
    <row r="485" spans="1:14" ht="19.5" customHeight="1">
      <c r="A485" s="560" t="str">
        <f t="shared" si="17"/>
        <v/>
      </c>
      <c r="N485" s="578" t="str">
        <f t="shared" si="16"/>
        <v/>
      </c>
    </row>
    <row r="486" spans="1:14" ht="19.5" customHeight="1">
      <c r="A486" s="560" t="str">
        <f t="shared" si="17"/>
        <v/>
      </c>
      <c r="N486" s="578" t="str">
        <f t="shared" si="16"/>
        <v/>
      </c>
    </row>
    <row r="487" spans="1:14" ht="19.5" customHeight="1">
      <c r="A487" s="560" t="str">
        <f t="shared" si="17"/>
        <v/>
      </c>
      <c r="N487" s="578" t="str">
        <f t="shared" si="16"/>
        <v/>
      </c>
    </row>
    <row r="488" spans="1:14" ht="19.5" customHeight="1">
      <c r="A488" s="560" t="str">
        <f t="shared" si="17"/>
        <v/>
      </c>
      <c r="N488" s="578" t="str">
        <f t="shared" si="16"/>
        <v/>
      </c>
    </row>
    <row r="489" spans="1:14" ht="19.5" customHeight="1">
      <c r="A489" s="560" t="str">
        <f t="shared" si="17"/>
        <v/>
      </c>
      <c r="N489" s="578" t="str">
        <f t="shared" si="16"/>
        <v/>
      </c>
    </row>
    <row r="490" spans="1:14" ht="19.5" customHeight="1">
      <c r="A490" s="560" t="str">
        <f t="shared" si="17"/>
        <v/>
      </c>
      <c r="N490" s="578" t="str">
        <f t="shared" si="16"/>
        <v/>
      </c>
    </row>
    <row r="491" spans="1:14" ht="19.5" customHeight="1">
      <c r="A491" s="560" t="str">
        <f t="shared" si="17"/>
        <v/>
      </c>
      <c r="N491" s="578" t="str">
        <f t="shared" si="16"/>
        <v/>
      </c>
    </row>
    <row r="492" spans="1:14" ht="19.5" customHeight="1">
      <c r="A492" s="560" t="str">
        <f t="shared" si="17"/>
        <v/>
      </c>
      <c r="N492" s="578" t="str">
        <f t="shared" si="16"/>
        <v/>
      </c>
    </row>
    <row r="493" spans="1:14" ht="19.5" customHeight="1">
      <c r="A493" s="560" t="str">
        <f t="shared" si="17"/>
        <v/>
      </c>
      <c r="N493" s="578" t="str">
        <f t="shared" si="16"/>
        <v/>
      </c>
    </row>
    <row r="494" spans="1:14" ht="19.5" customHeight="1">
      <c r="A494" s="560" t="str">
        <f t="shared" si="17"/>
        <v/>
      </c>
      <c r="N494" s="578" t="str">
        <f t="shared" ref="N494:N557" si="18">IF(A494&lt;&gt;"",HYPERLINK("#"&amp;A494&amp;"!A1","跳转"),"")</f>
        <v/>
      </c>
    </row>
    <row r="495" spans="1:14" ht="19.5" customHeight="1">
      <c r="A495" s="560" t="str">
        <f t="shared" si="17"/>
        <v/>
      </c>
      <c r="N495" s="578" t="str">
        <f t="shared" si="18"/>
        <v/>
      </c>
    </row>
    <row r="496" spans="1:14" ht="19.5" customHeight="1">
      <c r="A496" s="560" t="str">
        <f t="shared" si="17"/>
        <v/>
      </c>
      <c r="N496" s="578" t="str">
        <f t="shared" si="18"/>
        <v/>
      </c>
    </row>
    <row r="497" spans="1:14" ht="19.5" customHeight="1">
      <c r="A497" s="560" t="str">
        <f t="shared" si="17"/>
        <v/>
      </c>
      <c r="N497" s="578" t="str">
        <f t="shared" si="18"/>
        <v/>
      </c>
    </row>
    <row r="498" spans="1:14" ht="19.5" customHeight="1">
      <c r="A498" s="560" t="str">
        <f t="shared" si="17"/>
        <v/>
      </c>
      <c r="N498" s="578" t="str">
        <f t="shared" si="18"/>
        <v/>
      </c>
    </row>
    <row r="499" spans="1:14" ht="19.5" customHeight="1">
      <c r="A499" s="560" t="str">
        <f t="shared" si="17"/>
        <v/>
      </c>
      <c r="N499" s="578" t="str">
        <f t="shared" si="18"/>
        <v/>
      </c>
    </row>
    <row r="500" spans="1:14" ht="19.5" customHeight="1">
      <c r="A500" s="560" t="str">
        <f t="shared" si="17"/>
        <v/>
      </c>
      <c r="N500" s="578" t="str">
        <f t="shared" si="18"/>
        <v/>
      </c>
    </row>
    <row r="501" spans="1:14" ht="19.5" customHeight="1">
      <c r="A501" s="560" t="str">
        <f t="shared" si="17"/>
        <v/>
      </c>
      <c r="N501" s="578" t="str">
        <f t="shared" si="18"/>
        <v/>
      </c>
    </row>
    <row r="502" spans="1:14" ht="19.5" customHeight="1">
      <c r="A502" s="560" t="str">
        <f t="shared" ref="A502:A565" si="19">IF(C502&lt;&gt;"",ROW(C502)-1,"")</f>
        <v/>
      </c>
      <c r="N502" s="578" t="str">
        <f t="shared" si="18"/>
        <v/>
      </c>
    </row>
    <row r="503" spans="1:14" ht="19.5" customHeight="1">
      <c r="A503" s="560" t="str">
        <f t="shared" si="19"/>
        <v/>
      </c>
      <c r="N503" s="578" t="str">
        <f t="shared" si="18"/>
        <v/>
      </c>
    </row>
    <row r="504" spans="1:14" ht="19.5" customHeight="1">
      <c r="A504" s="560" t="str">
        <f t="shared" si="19"/>
        <v/>
      </c>
      <c r="N504" s="578" t="str">
        <f t="shared" si="18"/>
        <v/>
      </c>
    </row>
    <row r="505" spans="1:14" ht="19.5" customHeight="1">
      <c r="A505" s="560" t="str">
        <f t="shared" si="19"/>
        <v/>
      </c>
      <c r="N505" s="578" t="str">
        <f t="shared" si="18"/>
        <v/>
      </c>
    </row>
    <row r="506" spans="1:14" ht="19.5" customHeight="1">
      <c r="A506" s="560" t="str">
        <f t="shared" si="19"/>
        <v/>
      </c>
      <c r="N506" s="578" t="str">
        <f t="shared" si="18"/>
        <v/>
      </c>
    </row>
    <row r="507" spans="1:14" ht="19.5" customHeight="1">
      <c r="A507" s="560" t="str">
        <f t="shared" si="19"/>
        <v/>
      </c>
      <c r="N507" s="578" t="str">
        <f t="shared" si="18"/>
        <v/>
      </c>
    </row>
    <row r="508" spans="1:14" ht="19.5" customHeight="1">
      <c r="A508" s="560" t="str">
        <f t="shared" si="19"/>
        <v/>
      </c>
      <c r="N508" s="578" t="str">
        <f t="shared" si="18"/>
        <v/>
      </c>
    </row>
    <row r="509" spans="1:14" ht="19.5" customHeight="1">
      <c r="A509" s="560" t="str">
        <f t="shared" si="19"/>
        <v/>
      </c>
      <c r="N509" s="578" t="str">
        <f t="shared" si="18"/>
        <v/>
      </c>
    </row>
    <row r="510" spans="1:14" ht="19.5" customHeight="1">
      <c r="A510" s="560" t="str">
        <f t="shared" si="19"/>
        <v/>
      </c>
      <c r="N510" s="578" t="str">
        <f t="shared" si="18"/>
        <v/>
      </c>
    </row>
    <row r="511" spans="1:14" ht="19.5" customHeight="1">
      <c r="A511" s="560" t="str">
        <f t="shared" si="19"/>
        <v/>
      </c>
      <c r="N511" s="578" t="str">
        <f t="shared" si="18"/>
        <v/>
      </c>
    </row>
    <row r="512" spans="1:14" ht="19.5" customHeight="1">
      <c r="A512" s="560" t="str">
        <f t="shared" si="19"/>
        <v/>
      </c>
      <c r="N512" s="578" t="str">
        <f t="shared" si="18"/>
        <v/>
      </c>
    </row>
    <row r="513" spans="1:14" ht="19.5" customHeight="1">
      <c r="A513" s="560" t="str">
        <f t="shared" si="19"/>
        <v/>
      </c>
      <c r="N513" s="578" t="str">
        <f t="shared" si="18"/>
        <v/>
      </c>
    </row>
    <row r="514" spans="1:14" ht="19.5" customHeight="1">
      <c r="A514" s="560" t="str">
        <f t="shared" si="19"/>
        <v/>
      </c>
      <c r="N514" s="578" t="str">
        <f t="shared" si="18"/>
        <v/>
      </c>
    </row>
    <row r="515" spans="1:14" ht="19.5" customHeight="1">
      <c r="A515" s="560" t="str">
        <f t="shared" si="19"/>
        <v/>
      </c>
      <c r="N515" s="578" t="str">
        <f t="shared" si="18"/>
        <v/>
      </c>
    </row>
    <row r="516" spans="1:14" ht="19.5" customHeight="1">
      <c r="A516" s="560" t="str">
        <f t="shared" si="19"/>
        <v/>
      </c>
      <c r="N516" s="578" t="str">
        <f t="shared" si="18"/>
        <v/>
      </c>
    </row>
    <row r="517" spans="1:14" ht="19.5" customHeight="1">
      <c r="A517" s="560" t="str">
        <f t="shared" si="19"/>
        <v/>
      </c>
      <c r="N517" s="578" t="str">
        <f t="shared" si="18"/>
        <v/>
      </c>
    </row>
    <row r="518" spans="1:14" ht="19.5" customHeight="1">
      <c r="A518" s="560" t="str">
        <f t="shared" si="19"/>
        <v/>
      </c>
      <c r="N518" s="578" t="str">
        <f t="shared" si="18"/>
        <v/>
      </c>
    </row>
    <row r="519" spans="1:14" ht="19.5" customHeight="1">
      <c r="A519" s="560" t="str">
        <f t="shared" si="19"/>
        <v/>
      </c>
      <c r="N519" s="578" t="str">
        <f t="shared" si="18"/>
        <v/>
      </c>
    </row>
    <row r="520" spans="1:14" ht="19.5" customHeight="1">
      <c r="A520" s="560" t="str">
        <f t="shared" si="19"/>
        <v/>
      </c>
      <c r="N520" s="578" t="str">
        <f t="shared" si="18"/>
        <v/>
      </c>
    </row>
    <row r="521" spans="1:14" ht="19.5" customHeight="1">
      <c r="A521" s="560" t="str">
        <f t="shared" si="19"/>
        <v/>
      </c>
      <c r="N521" s="578" t="str">
        <f t="shared" si="18"/>
        <v/>
      </c>
    </row>
    <row r="522" spans="1:14" ht="19.5" customHeight="1">
      <c r="A522" s="560" t="str">
        <f t="shared" si="19"/>
        <v/>
      </c>
      <c r="N522" s="578" t="str">
        <f t="shared" si="18"/>
        <v/>
      </c>
    </row>
    <row r="523" spans="1:14" ht="19.5" customHeight="1">
      <c r="A523" s="560" t="str">
        <f t="shared" si="19"/>
        <v/>
      </c>
      <c r="N523" s="578" t="str">
        <f t="shared" si="18"/>
        <v/>
      </c>
    </row>
    <row r="524" spans="1:14" ht="19.5" customHeight="1">
      <c r="A524" s="560" t="str">
        <f t="shared" si="19"/>
        <v/>
      </c>
      <c r="N524" s="578" t="str">
        <f t="shared" si="18"/>
        <v/>
      </c>
    </row>
    <row r="525" spans="1:14" ht="19.5" customHeight="1">
      <c r="A525" s="560" t="str">
        <f t="shared" si="19"/>
        <v/>
      </c>
      <c r="N525" s="578" t="str">
        <f t="shared" si="18"/>
        <v/>
      </c>
    </row>
    <row r="526" spans="1:14" ht="19.5" customHeight="1">
      <c r="A526" s="560" t="str">
        <f t="shared" si="19"/>
        <v/>
      </c>
      <c r="N526" s="578" t="str">
        <f t="shared" si="18"/>
        <v/>
      </c>
    </row>
    <row r="527" spans="1:14" ht="19.5" customHeight="1">
      <c r="A527" s="560" t="str">
        <f t="shared" si="19"/>
        <v/>
      </c>
      <c r="N527" s="578" t="str">
        <f t="shared" si="18"/>
        <v/>
      </c>
    </row>
    <row r="528" spans="1:14" ht="19.5" customHeight="1">
      <c r="A528" s="560" t="str">
        <f t="shared" si="19"/>
        <v/>
      </c>
      <c r="N528" s="578" t="str">
        <f t="shared" si="18"/>
        <v/>
      </c>
    </row>
    <row r="529" spans="1:14" ht="19.5" customHeight="1">
      <c r="A529" s="560" t="str">
        <f t="shared" si="19"/>
        <v/>
      </c>
      <c r="N529" s="578" t="str">
        <f t="shared" si="18"/>
        <v/>
      </c>
    </row>
    <row r="530" spans="1:14" ht="19.5" customHeight="1">
      <c r="A530" s="560" t="str">
        <f t="shared" si="19"/>
        <v/>
      </c>
      <c r="N530" s="578" t="str">
        <f t="shared" si="18"/>
        <v/>
      </c>
    </row>
    <row r="531" spans="1:14" ht="19.5" customHeight="1">
      <c r="A531" s="560" t="str">
        <f t="shared" si="19"/>
        <v/>
      </c>
      <c r="N531" s="578" t="str">
        <f t="shared" si="18"/>
        <v/>
      </c>
    </row>
    <row r="532" spans="1:14" ht="19.5" customHeight="1">
      <c r="A532" s="560" t="str">
        <f t="shared" si="19"/>
        <v/>
      </c>
      <c r="N532" s="578" t="str">
        <f t="shared" si="18"/>
        <v/>
      </c>
    </row>
    <row r="533" spans="1:14" ht="19.5" customHeight="1">
      <c r="A533" s="560" t="str">
        <f t="shared" si="19"/>
        <v/>
      </c>
      <c r="N533" s="578" t="str">
        <f t="shared" si="18"/>
        <v/>
      </c>
    </row>
    <row r="534" spans="1:14" ht="19.5" customHeight="1">
      <c r="A534" s="560" t="str">
        <f t="shared" si="19"/>
        <v/>
      </c>
      <c r="N534" s="578" t="str">
        <f t="shared" si="18"/>
        <v/>
      </c>
    </row>
    <row r="535" spans="1:14" ht="19.5" customHeight="1">
      <c r="A535" s="560" t="str">
        <f t="shared" si="19"/>
        <v/>
      </c>
      <c r="N535" s="578" t="str">
        <f t="shared" si="18"/>
        <v/>
      </c>
    </row>
    <row r="536" spans="1:14" ht="19.5" customHeight="1">
      <c r="A536" s="560" t="str">
        <f t="shared" si="19"/>
        <v/>
      </c>
      <c r="N536" s="578" t="str">
        <f t="shared" si="18"/>
        <v/>
      </c>
    </row>
    <row r="537" spans="1:14" ht="19.5" customHeight="1">
      <c r="A537" s="560" t="str">
        <f t="shared" si="19"/>
        <v/>
      </c>
      <c r="N537" s="578" t="str">
        <f t="shared" si="18"/>
        <v/>
      </c>
    </row>
    <row r="538" spans="1:14" ht="19.5" customHeight="1">
      <c r="A538" s="560" t="str">
        <f t="shared" si="19"/>
        <v/>
      </c>
      <c r="N538" s="578" t="str">
        <f t="shared" si="18"/>
        <v/>
      </c>
    </row>
    <row r="539" spans="1:14" ht="19.5" customHeight="1">
      <c r="A539" s="560" t="str">
        <f t="shared" si="19"/>
        <v/>
      </c>
      <c r="N539" s="578" t="str">
        <f t="shared" si="18"/>
        <v/>
      </c>
    </row>
    <row r="540" spans="1:14" ht="19.5" customHeight="1">
      <c r="A540" s="560" t="str">
        <f t="shared" si="19"/>
        <v/>
      </c>
      <c r="N540" s="578" t="str">
        <f t="shared" si="18"/>
        <v/>
      </c>
    </row>
    <row r="541" spans="1:14" ht="19.5" customHeight="1">
      <c r="A541" s="560" t="str">
        <f t="shared" si="19"/>
        <v/>
      </c>
      <c r="N541" s="578" t="str">
        <f t="shared" si="18"/>
        <v/>
      </c>
    </row>
    <row r="542" spans="1:14" ht="19.5" customHeight="1">
      <c r="A542" s="560" t="str">
        <f t="shared" si="19"/>
        <v/>
      </c>
      <c r="N542" s="578" t="str">
        <f t="shared" si="18"/>
        <v/>
      </c>
    </row>
    <row r="543" spans="1:14" ht="19.5" customHeight="1">
      <c r="A543" s="560" t="str">
        <f t="shared" si="19"/>
        <v/>
      </c>
      <c r="N543" s="578" t="str">
        <f t="shared" si="18"/>
        <v/>
      </c>
    </row>
    <row r="544" spans="1:14" ht="19.5" customHeight="1">
      <c r="A544" s="560" t="str">
        <f t="shared" si="19"/>
        <v/>
      </c>
      <c r="N544" s="578" t="str">
        <f t="shared" si="18"/>
        <v/>
      </c>
    </row>
    <row r="545" spans="1:14" ht="19.5" customHeight="1">
      <c r="A545" s="560" t="str">
        <f t="shared" si="19"/>
        <v/>
      </c>
      <c r="N545" s="578" t="str">
        <f t="shared" si="18"/>
        <v/>
      </c>
    </row>
    <row r="546" spans="1:14" ht="19.5" customHeight="1">
      <c r="A546" s="560" t="str">
        <f t="shared" si="19"/>
        <v/>
      </c>
      <c r="N546" s="578" t="str">
        <f t="shared" si="18"/>
        <v/>
      </c>
    </row>
    <row r="547" spans="1:14" ht="19.5" customHeight="1">
      <c r="A547" s="560" t="str">
        <f t="shared" si="19"/>
        <v/>
      </c>
      <c r="N547" s="578" t="str">
        <f t="shared" si="18"/>
        <v/>
      </c>
    </row>
    <row r="548" spans="1:14" ht="19.5" customHeight="1">
      <c r="A548" s="560" t="str">
        <f t="shared" si="19"/>
        <v/>
      </c>
      <c r="N548" s="578" t="str">
        <f t="shared" si="18"/>
        <v/>
      </c>
    </row>
    <row r="549" spans="1:14" ht="19.5" customHeight="1">
      <c r="A549" s="560" t="str">
        <f t="shared" si="19"/>
        <v/>
      </c>
      <c r="N549" s="578" t="str">
        <f t="shared" si="18"/>
        <v/>
      </c>
    </row>
    <row r="550" spans="1:14" ht="19.5" customHeight="1">
      <c r="A550" s="560" t="str">
        <f t="shared" si="19"/>
        <v/>
      </c>
      <c r="N550" s="578" t="str">
        <f t="shared" si="18"/>
        <v/>
      </c>
    </row>
    <row r="551" spans="1:14" ht="19.5" customHeight="1">
      <c r="A551" s="560" t="str">
        <f t="shared" si="19"/>
        <v/>
      </c>
      <c r="N551" s="578" t="str">
        <f t="shared" si="18"/>
        <v/>
      </c>
    </row>
    <row r="552" spans="1:14" ht="19.5" customHeight="1">
      <c r="A552" s="560" t="str">
        <f t="shared" si="19"/>
        <v/>
      </c>
      <c r="N552" s="578" t="str">
        <f t="shared" si="18"/>
        <v/>
      </c>
    </row>
    <row r="553" spans="1:14" ht="19.5" customHeight="1">
      <c r="A553" s="560" t="str">
        <f t="shared" si="19"/>
        <v/>
      </c>
      <c r="N553" s="578" t="str">
        <f t="shared" si="18"/>
        <v/>
      </c>
    </row>
    <row r="554" spans="1:14" ht="19.5" customHeight="1">
      <c r="A554" s="560" t="str">
        <f t="shared" si="19"/>
        <v/>
      </c>
      <c r="N554" s="578" t="str">
        <f t="shared" si="18"/>
        <v/>
      </c>
    </row>
    <row r="555" spans="1:14" ht="19.5" customHeight="1">
      <c r="A555" s="560" t="str">
        <f t="shared" si="19"/>
        <v/>
      </c>
      <c r="N555" s="578" t="str">
        <f t="shared" si="18"/>
        <v/>
      </c>
    </row>
    <row r="556" spans="1:14" ht="19.5" customHeight="1">
      <c r="A556" s="560" t="str">
        <f t="shared" si="19"/>
        <v/>
      </c>
      <c r="N556" s="578" t="str">
        <f t="shared" si="18"/>
        <v/>
      </c>
    </row>
    <row r="557" spans="1:14" ht="19.5" customHeight="1">
      <c r="A557" s="560" t="str">
        <f t="shared" si="19"/>
        <v/>
      </c>
      <c r="N557" s="578" t="str">
        <f t="shared" si="18"/>
        <v/>
      </c>
    </row>
    <row r="558" spans="1:14" ht="19.5" customHeight="1">
      <c r="A558" s="560" t="str">
        <f t="shared" si="19"/>
        <v/>
      </c>
      <c r="N558" s="578" t="str">
        <f t="shared" ref="N558:N621" si="20">IF(A558&lt;&gt;"",HYPERLINK("#"&amp;A558&amp;"!A1","跳转"),"")</f>
        <v/>
      </c>
    </row>
    <row r="559" spans="1:14" ht="19.5" customHeight="1">
      <c r="A559" s="560" t="str">
        <f t="shared" si="19"/>
        <v/>
      </c>
      <c r="N559" s="578" t="str">
        <f t="shared" si="20"/>
        <v/>
      </c>
    </row>
    <row r="560" spans="1:14" ht="19.5" customHeight="1">
      <c r="A560" s="560" t="str">
        <f t="shared" si="19"/>
        <v/>
      </c>
      <c r="N560" s="578" t="str">
        <f t="shared" si="20"/>
        <v/>
      </c>
    </row>
    <row r="561" spans="1:14" ht="19.5" customHeight="1">
      <c r="A561" s="560" t="str">
        <f t="shared" si="19"/>
        <v/>
      </c>
      <c r="N561" s="578" t="str">
        <f t="shared" si="20"/>
        <v/>
      </c>
    </row>
    <row r="562" spans="1:14" ht="19.5" customHeight="1">
      <c r="A562" s="560" t="str">
        <f t="shared" si="19"/>
        <v/>
      </c>
      <c r="N562" s="578" t="str">
        <f t="shared" si="20"/>
        <v/>
      </c>
    </row>
    <row r="563" spans="1:14" ht="19.5" customHeight="1">
      <c r="A563" s="560" t="str">
        <f t="shared" si="19"/>
        <v/>
      </c>
      <c r="N563" s="578" t="str">
        <f t="shared" si="20"/>
        <v/>
      </c>
    </row>
    <row r="564" spans="1:14" ht="19.5" customHeight="1">
      <c r="A564" s="560" t="str">
        <f t="shared" si="19"/>
        <v/>
      </c>
      <c r="N564" s="578" t="str">
        <f t="shared" si="20"/>
        <v/>
      </c>
    </row>
    <row r="565" spans="1:14" ht="19.5" customHeight="1">
      <c r="A565" s="560" t="str">
        <f t="shared" si="19"/>
        <v/>
      </c>
      <c r="N565" s="578" t="str">
        <f t="shared" si="20"/>
        <v/>
      </c>
    </row>
    <row r="566" spans="1:14" ht="19.5" customHeight="1">
      <c r="A566" s="560" t="str">
        <f t="shared" ref="A566:A629" si="21">IF(C566&lt;&gt;"",ROW(C566)-1,"")</f>
        <v/>
      </c>
      <c r="N566" s="578" t="str">
        <f t="shared" si="20"/>
        <v/>
      </c>
    </row>
    <row r="567" spans="1:14" ht="19.5" customHeight="1">
      <c r="A567" s="560" t="str">
        <f t="shared" si="21"/>
        <v/>
      </c>
      <c r="N567" s="578" t="str">
        <f t="shared" si="20"/>
        <v/>
      </c>
    </row>
    <row r="568" spans="1:14" ht="19.5" customHeight="1">
      <c r="A568" s="560" t="str">
        <f t="shared" si="21"/>
        <v/>
      </c>
      <c r="N568" s="578" t="str">
        <f t="shared" si="20"/>
        <v/>
      </c>
    </row>
    <row r="569" spans="1:14" ht="19.5" customHeight="1">
      <c r="A569" s="560" t="str">
        <f t="shared" si="21"/>
        <v/>
      </c>
      <c r="N569" s="578" t="str">
        <f t="shared" si="20"/>
        <v/>
      </c>
    </row>
    <row r="570" spans="1:14" ht="19.5" customHeight="1">
      <c r="A570" s="560" t="str">
        <f t="shared" si="21"/>
        <v/>
      </c>
      <c r="N570" s="578" t="str">
        <f t="shared" si="20"/>
        <v/>
      </c>
    </row>
    <row r="571" spans="1:14" ht="19.5" customHeight="1">
      <c r="A571" s="560" t="str">
        <f t="shared" si="21"/>
        <v/>
      </c>
      <c r="N571" s="578" t="str">
        <f t="shared" si="20"/>
        <v/>
      </c>
    </row>
    <row r="572" spans="1:14" ht="19.5" customHeight="1">
      <c r="A572" s="560" t="str">
        <f t="shared" si="21"/>
        <v/>
      </c>
      <c r="N572" s="578" t="str">
        <f t="shared" si="20"/>
        <v/>
      </c>
    </row>
    <row r="573" spans="1:14" ht="19.5" customHeight="1">
      <c r="A573" s="560" t="str">
        <f t="shared" si="21"/>
        <v/>
      </c>
      <c r="N573" s="578" t="str">
        <f t="shared" si="20"/>
        <v/>
      </c>
    </row>
    <row r="574" spans="1:14" ht="19.5" customHeight="1">
      <c r="A574" s="560" t="str">
        <f t="shared" si="21"/>
        <v/>
      </c>
      <c r="N574" s="578" t="str">
        <f t="shared" si="20"/>
        <v/>
      </c>
    </row>
    <row r="575" spans="1:14" ht="19.5" customHeight="1">
      <c r="A575" s="560" t="str">
        <f t="shared" si="21"/>
        <v/>
      </c>
      <c r="N575" s="578" t="str">
        <f t="shared" si="20"/>
        <v/>
      </c>
    </row>
    <row r="576" spans="1:14" ht="19.5" customHeight="1">
      <c r="A576" s="560" t="str">
        <f t="shared" si="21"/>
        <v/>
      </c>
      <c r="N576" s="578" t="str">
        <f t="shared" si="20"/>
        <v/>
      </c>
    </row>
    <row r="577" spans="1:14" ht="19.5" customHeight="1">
      <c r="A577" s="560" t="str">
        <f t="shared" si="21"/>
        <v/>
      </c>
      <c r="N577" s="578" t="str">
        <f t="shared" si="20"/>
        <v/>
      </c>
    </row>
    <row r="578" spans="1:14" ht="19.5" customHeight="1">
      <c r="A578" s="560" t="str">
        <f t="shared" si="21"/>
        <v/>
      </c>
      <c r="N578" s="578" t="str">
        <f t="shared" si="20"/>
        <v/>
      </c>
    </row>
    <row r="579" spans="1:14" ht="19.5" customHeight="1">
      <c r="A579" s="560" t="str">
        <f t="shared" si="21"/>
        <v/>
      </c>
      <c r="N579" s="578" t="str">
        <f t="shared" si="20"/>
        <v/>
      </c>
    </row>
    <row r="580" spans="1:14" ht="19.5" customHeight="1">
      <c r="A580" s="560" t="str">
        <f t="shared" si="21"/>
        <v/>
      </c>
      <c r="N580" s="578" t="str">
        <f t="shared" si="20"/>
        <v/>
      </c>
    </row>
    <row r="581" spans="1:14" ht="19.5" customHeight="1">
      <c r="A581" s="560" t="str">
        <f t="shared" si="21"/>
        <v/>
      </c>
      <c r="N581" s="578" t="str">
        <f t="shared" si="20"/>
        <v/>
      </c>
    </row>
    <row r="582" spans="1:14" ht="19.5" customHeight="1">
      <c r="A582" s="560" t="str">
        <f t="shared" si="21"/>
        <v/>
      </c>
      <c r="N582" s="578" t="str">
        <f t="shared" si="20"/>
        <v/>
      </c>
    </row>
    <row r="583" spans="1:14" ht="19.5" customHeight="1">
      <c r="A583" s="560" t="str">
        <f t="shared" si="21"/>
        <v/>
      </c>
      <c r="N583" s="578" t="str">
        <f t="shared" si="20"/>
        <v/>
      </c>
    </row>
    <row r="584" spans="1:14" ht="19.5" customHeight="1">
      <c r="A584" s="560" t="str">
        <f t="shared" si="21"/>
        <v/>
      </c>
      <c r="N584" s="578" t="str">
        <f t="shared" si="20"/>
        <v/>
      </c>
    </row>
    <row r="585" spans="1:14" ht="19.5" customHeight="1">
      <c r="A585" s="560" t="str">
        <f t="shared" si="21"/>
        <v/>
      </c>
      <c r="N585" s="578" t="str">
        <f t="shared" si="20"/>
        <v/>
      </c>
    </row>
    <row r="586" spans="1:14" ht="19.5" customHeight="1">
      <c r="A586" s="560" t="str">
        <f t="shared" si="21"/>
        <v/>
      </c>
      <c r="N586" s="578" t="str">
        <f t="shared" si="20"/>
        <v/>
      </c>
    </row>
    <row r="587" spans="1:14" ht="19.5" customHeight="1">
      <c r="A587" s="560" t="str">
        <f t="shared" si="21"/>
        <v/>
      </c>
      <c r="N587" s="578" t="str">
        <f t="shared" si="20"/>
        <v/>
      </c>
    </row>
    <row r="588" spans="1:14" ht="19.5" customHeight="1">
      <c r="A588" s="560" t="str">
        <f t="shared" si="21"/>
        <v/>
      </c>
      <c r="N588" s="578" t="str">
        <f t="shared" si="20"/>
        <v/>
      </c>
    </row>
    <row r="589" spans="1:14" ht="19.5" customHeight="1">
      <c r="A589" s="560" t="str">
        <f t="shared" si="21"/>
        <v/>
      </c>
      <c r="N589" s="578" t="str">
        <f t="shared" si="20"/>
        <v/>
      </c>
    </row>
    <row r="590" spans="1:14" ht="19.5" customHeight="1">
      <c r="A590" s="560" t="str">
        <f t="shared" si="21"/>
        <v/>
      </c>
      <c r="N590" s="578" t="str">
        <f t="shared" si="20"/>
        <v/>
      </c>
    </row>
    <row r="591" spans="1:14" ht="19.5" customHeight="1">
      <c r="A591" s="560" t="str">
        <f t="shared" si="21"/>
        <v/>
      </c>
      <c r="N591" s="578" t="str">
        <f t="shared" si="20"/>
        <v/>
      </c>
    </row>
    <row r="592" spans="1:14" ht="19.5" customHeight="1">
      <c r="A592" s="560" t="str">
        <f t="shared" si="21"/>
        <v/>
      </c>
      <c r="N592" s="578" t="str">
        <f t="shared" si="20"/>
        <v/>
      </c>
    </row>
    <row r="593" spans="1:14" ht="19.5" customHeight="1">
      <c r="A593" s="560" t="str">
        <f t="shared" si="21"/>
        <v/>
      </c>
      <c r="N593" s="578" t="str">
        <f t="shared" si="20"/>
        <v/>
      </c>
    </row>
    <row r="594" spans="1:14" ht="19.5" customHeight="1">
      <c r="A594" s="560" t="str">
        <f t="shared" si="21"/>
        <v/>
      </c>
      <c r="N594" s="578" t="str">
        <f t="shared" si="20"/>
        <v/>
      </c>
    </row>
    <row r="595" spans="1:14" ht="19.5" customHeight="1">
      <c r="A595" s="560" t="str">
        <f t="shared" si="21"/>
        <v/>
      </c>
      <c r="N595" s="578" t="str">
        <f t="shared" si="20"/>
        <v/>
      </c>
    </row>
    <row r="596" spans="1:14" ht="19.5" customHeight="1">
      <c r="A596" s="560" t="str">
        <f t="shared" si="21"/>
        <v/>
      </c>
      <c r="N596" s="578" t="str">
        <f t="shared" si="20"/>
        <v/>
      </c>
    </row>
    <row r="597" spans="1:14" ht="19.5" customHeight="1">
      <c r="A597" s="560" t="str">
        <f t="shared" si="21"/>
        <v/>
      </c>
      <c r="N597" s="578" t="str">
        <f t="shared" si="20"/>
        <v/>
      </c>
    </row>
    <row r="598" spans="1:14" ht="19.5" customHeight="1">
      <c r="A598" s="560" t="str">
        <f t="shared" si="21"/>
        <v/>
      </c>
      <c r="N598" s="578" t="str">
        <f t="shared" si="20"/>
        <v/>
      </c>
    </row>
    <row r="599" spans="1:14" ht="19.5" customHeight="1">
      <c r="A599" s="560" t="str">
        <f t="shared" si="21"/>
        <v/>
      </c>
      <c r="N599" s="578" t="str">
        <f t="shared" si="20"/>
        <v/>
      </c>
    </row>
    <row r="600" spans="1:14" ht="19.5" customHeight="1">
      <c r="A600" s="560" t="str">
        <f t="shared" si="21"/>
        <v/>
      </c>
      <c r="N600" s="578" t="str">
        <f t="shared" si="20"/>
        <v/>
      </c>
    </row>
    <row r="601" spans="1:14" ht="19.5" customHeight="1">
      <c r="A601" s="560" t="str">
        <f t="shared" si="21"/>
        <v/>
      </c>
      <c r="N601" s="578" t="str">
        <f t="shared" si="20"/>
        <v/>
      </c>
    </row>
    <row r="602" spans="1:14" ht="19.5" customHeight="1">
      <c r="A602" s="560" t="str">
        <f t="shared" si="21"/>
        <v/>
      </c>
      <c r="N602" s="578" t="str">
        <f t="shared" si="20"/>
        <v/>
      </c>
    </row>
    <row r="603" spans="1:14" ht="19.5" customHeight="1">
      <c r="A603" s="560" t="str">
        <f t="shared" si="21"/>
        <v/>
      </c>
      <c r="N603" s="578" t="str">
        <f t="shared" si="20"/>
        <v/>
      </c>
    </row>
    <row r="604" spans="1:14" ht="19.5" customHeight="1">
      <c r="A604" s="560" t="str">
        <f t="shared" si="21"/>
        <v/>
      </c>
      <c r="N604" s="578" t="str">
        <f t="shared" si="20"/>
        <v/>
      </c>
    </row>
    <row r="605" spans="1:14" ht="19.5" customHeight="1">
      <c r="A605" s="560" t="str">
        <f t="shared" si="21"/>
        <v/>
      </c>
      <c r="N605" s="578" t="str">
        <f t="shared" si="20"/>
        <v/>
      </c>
    </row>
    <row r="606" spans="1:14" ht="19.5" customHeight="1">
      <c r="A606" s="560" t="str">
        <f t="shared" si="21"/>
        <v/>
      </c>
      <c r="N606" s="578" t="str">
        <f t="shared" si="20"/>
        <v/>
      </c>
    </row>
    <row r="607" spans="1:14" ht="19.5" customHeight="1">
      <c r="A607" s="560" t="str">
        <f t="shared" si="21"/>
        <v/>
      </c>
      <c r="N607" s="578" t="str">
        <f t="shared" si="20"/>
        <v/>
      </c>
    </row>
    <row r="608" spans="1:14" ht="19.5" customHeight="1">
      <c r="A608" s="560" t="str">
        <f t="shared" si="21"/>
        <v/>
      </c>
      <c r="N608" s="578" t="str">
        <f t="shared" si="20"/>
        <v/>
      </c>
    </row>
    <row r="609" spans="1:14" ht="19.5" customHeight="1">
      <c r="A609" s="560" t="str">
        <f t="shared" si="21"/>
        <v/>
      </c>
      <c r="N609" s="578" t="str">
        <f t="shared" si="20"/>
        <v/>
      </c>
    </row>
    <row r="610" spans="1:14" ht="19.5" customHeight="1">
      <c r="A610" s="560" t="str">
        <f t="shared" si="21"/>
        <v/>
      </c>
      <c r="N610" s="578" t="str">
        <f t="shared" si="20"/>
        <v/>
      </c>
    </row>
    <row r="611" spans="1:14" ht="19.5" customHeight="1">
      <c r="A611" s="560" t="str">
        <f t="shared" si="21"/>
        <v/>
      </c>
      <c r="N611" s="578" t="str">
        <f t="shared" si="20"/>
        <v/>
      </c>
    </row>
    <row r="612" spans="1:14" ht="19.5" customHeight="1">
      <c r="A612" s="560" t="str">
        <f t="shared" si="21"/>
        <v/>
      </c>
      <c r="N612" s="578" t="str">
        <f t="shared" si="20"/>
        <v/>
      </c>
    </row>
    <row r="613" spans="1:14" ht="19.5" customHeight="1">
      <c r="A613" s="560" t="str">
        <f t="shared" si="21"/>
        <v/>
      </c>
      <c r="N613" s="578" t="str">
        <f t="shared" si="20"/>
        <v/>
      </c>
    </row>
    <row r="614" spans="1:14" ht="19.5" customHeight="1">
      <c r="A614" s="560" t="str">
        <f t="shared" si="21"/>
        <v/>
      </c>
      <c r="N614" s="578" t="str">
        <f t="shared" si="20"/>
        <v/>
      </c>
    </row>
    <row r="615" spans="1:14" ht="19.5" customHeight="1">
      <c r="A615" s="560" t="str">
        <f t="shared" si="21"/>
        <v/>
      </c>
      <c r="N615" s="578" t="str">
        <f t="shared" si="20"/>
        <v/>
      </c>
    </row>
    <row r="616" spans="1:14" ht="19.5" customHeight="1">
      <c r="A616" s="560" t="str">
        <f t="shared" si="21"/>
        <v/>
      </c>
      <c r="N616" s="578" t="str">
        <f t="shared" si="20"/>
        <v/>
      </c>
    </row>
    <row r="617" spans="1:14" ht="19.5" customHeight="1">
      <c r="A617" s="560" t="str">
        <f t="shared" si="21"/>
        <v/>
      </c>
      <c r="N617" s="578" t="str">
        <f t="shared" si="20"/>
        <v/>
      </c>
    </row>
    <row r="618" spans="1:14" ht="19.5" customHeight="1">
      <c r="A618" s="560" t="str">
        <f t="shared" si="21"/>
        <v/>
      </c>
      <c r="N618" s="578" t="str">
        <f t="shared" si="20"/>
        <v/>
      </c>
    </row>
    <row r="619" spans="1:14" ht="19.5" customHeight="1">
      <c r="A619" s="560" t="str">
        <f t="shared" si="21"/>
        <v/>
      </c>
      <c r="N619" s="578" t="str">
        <f t="shared" si="20"/>
        <v/>
      </c>
    </row>
    <row r="620" spans="1:14" ht="19.5" customHeight="1">
      <c r="A620" s="560" t="str">
        <f t="shared" si="21"/>
        <v/>
      </c>
      <c r="N620" s="578" t="str">
        <f t="shared" si="20"/>
        <v/>
      </c>
    </row>
    <row r="621" spans="1:14" ht="19.5" customHeight="1">
      <c r="A621" s="560" t="str">
        <f t="shared" si="21"/>
        <v/>
      </c>
      <c r="N621" s="578" t="str">
        <f t="shared" si="20"/>
        <v/>
      </c>
    </row>
    <row r="622" spans="1:14" ht="19.5" customHeight="1">
      <c r="A622" s="560" t="str">
        <f t="shared" si="21"/>
        <v/>
      </c>
      <c r="N622" s="578" t="str">
        <f t="shared" ref="N622:N685" si="22">IF(A622&lt;&gt;"",HYPERLINK("#"&amp;A622&amp;"!A1","跳转"),"")</f>
        <v/>
      </c>
    </row>
    <row r="623" spans="1:14" ht="19.5" customHeight="1">
      <c r="A623" s="560" t="str">
        <f t="shared" si="21"/>
        <v/>
      </c>
      <c r="N623" s="578" t="str">
        <f t="shared" si="22"/>
        <v/>
      </c>
    </row>
    <row r="624" spans="1:14" ht="19.5" customHeight="1">
      <c r="A624" s="560" t="str">
        <f t="shared" si="21"/>
        <v/>
      </c>
      <c r="N624" s="578" t="str">
        <f t="shared" si="22"/>
        <v/>
      </c>
    </row>
    <row r="625" spans="1:14" ht="19.5" customHeight="1">
      <c r="A625" s="560" t="str">
        <f t="shared" si="21"/>
        <v/>
      </c>
      <c r="N625" s="578" t="str">
        <f t="shared" si="22"/>
        <v/>
      </c>
    </row>
    <row r="626" spans="1:14" ht="19.5" customHeight="1">
      <c r="A626" s="560" t="str">
        <f t="shared" si="21"/>
        <v/>
      </c>
      <c r="N626" s="578" t="str">
        <f t="shared" si="22"/>
        <v/>
      </c>
    </row>
    <row r="627" spans="1:14" ht="19.5" customHeight="1">
      <c r="A627" s="560" t="str">
        <f t="shared" si="21"/>
        <v/>
      </c>
      <c r="N627" s="578" t="str">
        <f t="shared" si="22"/>
        <v/>
      </c>
    </row>
    <row r="628" spans="1:14" ht="19.5" customHeight="1">
      <c r="A628" s="560" t="str">
        <f t="shared" si="21"/>
        <v/>
      </c>
      <c r="N628" s="578" t="str">
        <f t="shared" si="22"/>
        <v/>
      </c>
    </row>
    <row r="629" spans="1:14" ht="19.5" customHeight="1">
      <c r="A629" s="560" t="str">
        <f t="shared" si="21"/>
        <v/>
      </c>
      <c r="N629" s="578" t="str">
        <f t="shared" si="22"/>
        <v/>
      </c>
    </row>
    <row r="630" spans="1:14" ht="19.5" customHeight="1">
      <c r="A630" s="560" t="str">
        <f t="shared" ref="A630:A693" si="23">IF(C630&lt;&gt;"",ROW(C630)-1,"")</f>
        <v/>
      </c>
      <c r="N630" s="578" t="str">
        <f t="shared" si="22"/>
        <v/>
      </c>
    </row>
    <row r="631" spans="1:14" ht="19.5" customHeight="1">
      <c r="A631" s="560" t="str">
        <f t="shared" si="23"/>
        <v/>
      </c>
      <c r="N631" s="578" t="str">
        <f t="shared" si="22"/>
        <v/>
      </c>
    </row>
    <row r="632" spans="1:14" ht="19.5" customHeight="1">
      <c r="A632" s="560" t="str">
        <f t="shared" si="23"/>
        <v/>
      </c>
      <c r="N632" s="578" t="str">
        <f t="shared" si="22"/>
        <v/>
      </c>
    </row>
    <row r="633" spans="1:14" ht="19.5" customHeight="1">
      <c r="A633" s="560" t="str">
        <f t="shared" si="23"/>
        <v/>
      </c>
      <c r="N633" s="578" t="str">
        <f t="shared" si="22"/>
        <v/>
      </c>
    </row>
    <row r="634" spans="1:14" ht="19.5" customHeight="1">
      <c r="A634" s="560" t="str">
        <f t="shared" si="23"/>
        <v/>
      </c>
      <c r="N634" s="578" t="str">
        <f t="shared" si="22"/>
        <v/>
      </c>
    </row>
    <row r="635" spans="1:14" ht="19.5" customHeight="1">
      <c r="A635" s="560" t="str">
        <f t="shared" si="23"/>
        <v/>
      </c>
      <c r="N635" s="578" t="str">
        <f t="shared" si="22"/>
        <v/>
      </c>
    </row>
    <row r="636" spans="1:14" ht="19.5" customHeight="1">
      <c r="A636" s="560" t="str">
        <f t="shared" si="23"/>
        <v/>
      </c>
      <c r="N636" s="578" t="str">
        <f t="shared" si="22"/>
        <v/>
      </c>
    </row>
    <row r="637" spans="1:14" ht="19.5" customHeight="1">
      <c r="A637" s="560" t="str">
        <f t="shared" si="23"/>
        <v/>
      </c>
      <c r="N637" s="578" t="str">
        <f t="shared" si="22"/>
        <v/>
      </c>
    </row>
    <row r="638" spans="1:14" ht="19.5" customHeight="1">
      <c r="A638" s="560" t="str">
        <f t="shared" si="23"/>
        <v/>
      </c>
      <c r="N638" s="578" t="str">
        <f t="shared" si="22"/>
        <v/>
      </c>
    </row>
    <row r="639" spans="1:14" ht="19.5" customHeight="1">
      <c r="A639" s="560" t="str">
        <f t="shared" si="23"/>
        <v/>
      </c>
      <c r="N639" s="578" t="str">
        <f t="shared" si="22"/>
        <v/>
      </c>
    </row>
    <row r="640" spans="1:14" ht="19.5" customHeight="1">
      <c r="A640" s="560" t="str">
        <f t="shared" si="23"/>
        <v/>
      </c>
      <c r="N640" s="578" t="str">
        <f t="shared" si="22"/>
        <v/>
      </c>
    </row>
    <row r="641" spans="1:14" ht="19.5" customHeight="1">
      <c r="A641" s="560" t="str">
        <f t="shared" si="23"/>
        <v/>
      </c>
      <c r="N641" s="578" t="str">
        <f t="shared" si="22"/>
        <v/>
      </c>
    </row>
    <row r="642" spans="1:14" ht="19.5" customHeight="1">
      <c r="A642" s="560" t="str">
        <f t="shared" si="23"/>
        <v/>
      </c>
      <c r="N642" s="578" t="str">
        <f t="shared" si="22"/>
        <v/>
      </c>
    </row>
    <row r="643" spans="1:14" ht="19.5" customHeight="1">
      <c r="A643" s="560" t="str">
        <f t="shared" si="23"/>
        <v/>
      </c>
      <c r="N643" s="578" t="str">
        <f t="shared" si="22"/>
        <v/>
      </c>
    </row>
    <row r="644" spans="1:14" ht="19.5" customHeight="1">
      <c r="A644" s="560" t="str">
        <f t="shared" si="23"/>
        <v/>
      </c>
      <c r="N644" s="578" t="str">
        <f t="shared" si="22"/>
        <v/>
      </c>
    </row>
    <row r="645" spans="1:14" ht="19.5" customHeight="1">
      <c r="A645" s="560" t="str">
        <f t="shared" si="23"/>
        <v/>
      </c>
      <c r="N645" s="578" t="str">
        <f t="shared" si="22"/>
        <v/>
      </c>
    </row>
    <row r="646" spans="1:14" ht="19.5" customHeight="1">
      <c r="A646" s="560" t="str">
        <f t="shared" si="23"/>
        <v/>
      </c>
      <c r="N646" s="578" t="str">
        <f t="shared" si="22"/>
        <v/>
      </c>
    </row>
    <row r="647" spans="1:14" ht="19.5" customHeight="1">
      <c r="A647" s="560" t="str">
        <f t="shared" si="23"/>
        <v/>
      </c>
      <c r="N647" s="578" t="str">
        <f t="shared" si="22"/>
        <v/>
      </c>
    </row>
    <row r="648" spans="1:14" ht="19.5" customHeight="1">
      <c r="A648" s="560" t="str">
        <f t="shared" si="23"/>
        <v/>
      </c>
      <c r="N648" s="578" t="str">
        <f t="shared" si="22"/>
        <v/>
      </c>
    </row>
    <row r="649" spans="1:14" ht="19.5" customHeight="1">
      <c r="A649" s="560" t="str">
        <f t="shared" si="23"/>
        <v/>
      </c>
      <c r="N649" s="578" t="str">
        <f t="shared" si="22"/>
        <v/>
      </c>
    </row>
    <row r="650" spans="1:14" ht="19.5" customHeight="1">
      <c r="A650" s="560" t="str">
        <f t="shared" si="23"/>
        <v/>
      </c>
      <c r="N650" s="578" t="str">
        <f t="shared" si="22"/>
        <v/>
      </c>
    </row>
    <row r="651" spans="1:14" ht="19.5" customHeight="1">
      <c r="A651" s="560" t="str">
        <f t="shared" si="23"/>
        <v/>
      </c>
      <c r="N651" s="578" t="str">
        <f t="shared" si="22"/>
        <v/>
      </c>
    </row>
    <row r="652" spans="1:14" ht="19.5" customHeight="1">
      <c r="A652" s="560" t="str">
        <f t="shared" si="23"/>
        <v/>
      </c>
      <c r="N652" s="578" t="str">
        <f t="shared" si="22"/>
        <v/>
      </c>
    </row>
    <row r="653" spans="1:14" ht="19.5" customHeight="1">
      <c r="A653" s="560" t="str">
        <f t="shared" si="23"/>
        <v/>
      </c>
      <c r="N653" s="578" t="str">
        <f t="shared" si="22"/>
        <v/>
      </c>
    </row>
    <row r="654" spans="1:14" ht="19.5" customHeight="1">
      <c r="A654" s="560" t="str">
        <f t="shared" si="23"/>
        <v/>
      </c>
      <c r="N654" s="578" t="str">
        <f t="shared" si="22"/>
        <v/>
      </c>
    </row>
    <row r="655" spans="1:14" ht="19.5" customHeight="1">
      <c r="A655" s="560" t="str">
        <f t="shared" si="23"/>
        <v/>
      </c>
      <c r="N655" s="578" t="str">
        <f t="shared" si="22"/>
        <v/>
      </c>
    </row>
    <row r="656" spans="1:14" ht="19.5" customHeight="1">
      <c r="A656" s="560" t="str">
        <f t="shared" si="23"/>
        <v/>
      </c>
      <c r="N656" s="578" t="str">
        <f t="shared" si="22"/>
        <v/>
      </c>
    </row>
    <row r="657" spans="1:14" ht="19.5" customHeight="1">
      <c r="A657" s="560" t="str">
        <f t="shared" si="23"/>
        <v/>
      </c>
      <c r="N657" s="578" t="str">
        <f t="shared" si="22"/>
        <v/>
      </c>
    </row>
    <row r="658" spans="1:14" ht="19.5" customHeight="1">
      <c r="A658" s="560" t="str">
        <f t="shared" si="23"/>
        <v/>
      </c>
      <c r="N658" s="578" t="str">
        <f t="shared" si="22"/>
        <v/>
      </c>
    </row>
    <row r="659" spans="1:14" ht="19.5" customHeight="1">
      <c r="A659" s="560" t="str">
        <f t="shared" si="23"/>
        <v/>
      </c>
      <c r="N659" s="578" t="str">
        <f t="shared" si="22"/>
        <v/>
      </c>
    </row>
    <row r="660" spans="1:14" ht="19.5" customHeight="1">
      <c r="A660" s="560" t="str">
        <f t="shared" si="23"/>
        <v/>
      </c>
      <c r="N660" s="578" t="str">
        <f t="shared" si="22"/>
        <v/>
      </c>
    </row>
    <row r="661" spans="1:14" ht="19.5" customHeight="1">
      <c r="A661" s="560" t="str">
        <f t="shared" si="23"/>
        <v/>
      </c>
      <c r="N661" s="578" t="str">
        <f t="shared" si="22"/>
        <v/>
      </c>
    </row>
    <row r="662" spans="1:14" ht="19.5" customHeight="1">
      <c r="A662" s="560" t="str">
        <f t="shared" si="23"/>
        <v/>
      </c>
      <c r="N662" s="578" t="str">
        <f t="shared" si="22"/>
        <v/>
      </c>
    </row>
    <row r="663" spans="1:14" ht="19.5" customHeight="1">
      <c r="A663" s="560" t="str">
        <f t="shared" si="23"/>
        <v/>
      </c>
      <c r="N663" s="578" t="str">
        <f t="shared" si="22"/>
        <v/>
      </c>
    </row>
    <row r="664" spans="1:14" ht="19.5" customHeight="1">
      <c r="A664" s="560" t="str">
        <f t="shared" si="23"/>
        <v/>
      </c>
      <c r="N664" s="578" t="str">
        <f t="shared" si="22"/>
        <v/>
      </c>
    </row>
    <row r="665" spans="1:14" ht="19.5" customHeight="1">
      <c r="A665" s="560" t="str">
        <f t="shared" si="23"/>
        <v/>
      </c>
      <c r="N665" s="578" t="str">
        <f t="shared" si="22"/>
        <v/>
      </c>
    </row>
    <row r="666" spans="1:14" ht="19.5" customHeight="1">
      <c r="A666" s="560" t="str">
        <f t="shared" si="23"/>
        <v/>
      </c>
      <c r="N666" s="578" t="str">
        <f t="shared" si="22"/>
        <v/>
      </c>
    </row>
    <row r="667" spans="1:14" ht="19.5" customHeight="1">
      <c r="A667" s="560" t="str">
        <f t="shared" si="23"/>
        <v/>
      </c>
      <c r="N667" s="578" t="str">
        <f t="shared" si="22"/>
        <v/>
      </c>
    </row>
    <row r="668" spans="1:14" ht="19.5" customHeight="1">
      <c r="A668" s="560" t="str">
        <f t="shared" si="23"/>
        <v/>
      </c>
      <c r="N668" s="578" t="str">
        <f t="shared" si="22"/>
        <v/>
      </c>
    </row>
    <row r="669" spans="1:14" ht="19.5" customHeight="1">
      <c r="A669" s="560" t="str">
        <f t="shared" si="23"/>
        <v/>
      </c>
      <c r="N669" s="578" t="str">
        <f t="shared" si="22"/>
        <v/>
      </c>
    </row>
    <row r="670" spans="1:14" ht="19.5" customHeight="1">
      <c r="A670" s="560" t="str">
        <f t="shared" si="23"/>
        <v/>
      </c>
      <c r="N670" s="578" t="str">
        <f t="shared" si="22"/>
        <v/>
      </c>
    </row>
    <row r="671" spans="1:14" ht="19.5" customHeight="1">
      <c r="A671" s="560" t="str">
        <f t="shared" si="23"/>
        <v/>
      </c>
      <c r="N671" s="578" t="str">
        <f t="shared" si="22"/>
        <v/>
      </c>
    </row>
    <row r="672" spans="1:14" ht="19.5" customHeight="1">
      <c r="A672" s="560" t="str">
        <f t="shared" si="23"/>
        <v/>
      </c>
      <c r="N672" s="578" t="str">
        <f t="shared" si="22"/>
        <v/>
      </c>
    </row>
    <row r="673" spans="1:14" ht="19.5" customHeight="1">
      <c r="A673" s="560" t="str">
        <f t="shared" si="23"/>
        <v/>
      </c>
      <c r="N673" s="578" t="str">
        <f t="shared" si="22"/>
        <v/>
      </c>
    </row>
    <row r="674" spans="1:14" ht="19.5" customHeight="1">
      <c r="A674" s="560" t="str">
        <f t="shared" si="23"/>
        <v/>
      </c>
      <c r="N674" s="578" t="str">
        <f t="shared" si="22"/>
        <v/>
      </c>
    </row>
    <row r="675" spans="1:14" ht="19.5" customHeight="1">
      <c r="A675" s="560" t="str">
        <f t="shared" si="23"/>
        <v/>
      </c>
      <c r="N675" s="578" t="str">
        <f t="shared" si="22"/>
        <v/>
      </c>
    </row>
    <row r="676" spans="1:14" ht="19.5" customHeight="1">
      <c r="A676" s="560" t="str">
        <f t="shared" si="23"/>
        <v/>
      </c>
      <c r="N676" s="578" t="str">
        <f t="shared" si="22"/>
        <v/>
      </c>
    </row>
    <row r="677" spans="1:14" ht="19.5" customHeight="1">
      <c r="A677" s="560" t="str">
        <f t="shared" si="23"/>
        <v/>
      </c>
      <c r="N677" s="578" t="str">
        <f t="shared" si="22"/>
        <v/>
      </c>
    </row>
    <row r="678" spans="1:14" ht="19.5" customHeight="1">
      <c r="A678" s="560" t="str">
        <f t="shared" si="23"/>
        <v/>
      </c>
      <c r="N678" s="578" t="str">
        <f t="shared" si="22"/>
        <v/>
      </c>
    </row>
    <row r="679" spans="1:14" ht="19.5" customHeight="1">
      <c r="A679" s="560" t="str">
        <f t="shared" si="23"/>
        <v/>
      </c>
      <c r="N679" s="578" t="str">
        <f t="shared" si="22"/>
        <v/>
      </c>
    </row>
    <row r="680" spans="1:14" ht="19.5" customHeight="1">
      <c r="A680" s="560" t="str">
        <f t="shared" si="23"/>
        <v/>
      </c>
      <c r="N680" s="578" t="str">
        <f t="shared" si="22"/>
        <v/>
      </c>
    </row>
    <row r="681" spans="1:14" ht="19.5" customHeight="1">
      <c r="A681" s="560" t="str">
        <f t="shared" si="23"/>
        <v/>
      </c>
      <c r="N681" s="578" t="str">
        <f t="shared" si="22"/>
        <v/>
      </c>
    </row>
    <row r="682" spans="1:14" ht="19.5" customHeight="1">
      <c r="A682" s="560" t="str">
        <f t="shared" si="23"/>
        <v/>
      </c>
      <c r="N682" s="578" t="str">
        <f t="shared" si="22"/>
        <v/>
      </c>
    </row>
    <row r="683" spans="1:14" ht="19.5" customHeight="1">
      <c r="A683" s="560" t="str">
        <f t="shared" si="23"/>
        <v/>
      </c>
      <c r="N683" s="578" t="str">
        <f t="shared" si="22"/>
        <v/>
      </c>
    </row>
    <row r="684" spans="1:14" ht="19.5" customHeight="1">
      <c r="A684" s="560" t="str">
        <f t="shared" si="23"/>
        <v/>
      </c>
      <c r="N684" s="578" t="str">
        <f t="shared" si="22"/>
        <v/>
      </c>
    </row>
    <row r="685" spans="1:14" ht="19.5" customHeight="1">
      <c r="A685" s="560" t="str">
        <f t="shared" si="23"/>
        <v/>
      </c>
      <c r="N685" s="578" t="str">
        <f t="shared" si="22"/>
        <v/>
      </c>
    </row>
    <row r="686" spans="1:14" ht="19.5" customHeight="1">
      <c r="A686" s="560" t="str">
        <f t="shared" si="23"/>
        <v/>
      </c>
      <c r="N686" s="578" t="str">
        <f t="shared" ref="N686:N704" si="24">IF(A686&lt;&gt;"",HYPERLINK("#"&amp;A686&amp;"!A1","跳转"),"")</f>
        <v/>
      </c>
    </row>
    <row r="687" spans="1:14" ht="19.5" customHeight="1">
      <c r="A687" s="560" t="str">
        <f t="shared" si="23"/>
        <v/>
      </c>
      <c r="N687" s="578" t="str">
        <f t="shared" si="24"/>
        <v/>
      </c>
    </row>
    <row r="688" spans="1:14" ht="19.5" customHeight="1">
      <c r="A688" s="560" t="str">
        <f t="shared" si="23"/>
        <v/>
      </c>
      <c r="N688" s="578" t="str">
        <f t="shared" si="24"/>
        <v/>
      </c>
    </row>
    <row r="689" spans="1:14" ht="19.5" customHeight="1">
      <c r="A689" s="560" t="str">
        <f t="shared" si="23"/>
        <v/>
      </c>
      <c r="N689" s="578" t="str">
        <f t="shared" si="24"/>
        <v/>
      </c>
    </row>
    <row r="690" spans="1:14" ht="19.5" customHeight="1">
      <c r="A690" s="560" t="str">
        <f t="shared" si="23"/>
        <v/>
      </c>
      <c r="N690" s="578" t="str">
        <f t="shared" si="24"/>
        <v/>
      </c>
    </row>
    <row r="691" spans="1:14" ht="19.5" customHeight="1">
      <c r="A691" s="560" t="str">
        <f t="shared" si="23"/>
        <v/>
      </c>
      <c r="N691" s="578" t="str">
        <f t="shared" si="24"/>
        <v/>
      </c>
    </row>
    <row r="692" spans="1:14" ht="19.5" customHeight="1">
      <c r="A692" s="560" t="str">
        <f t="shared" si="23"/>
        <v/>
      </c>
      <c r="N692" s="578" t="str">
        <f t="shared" si="24"/>
        <v/>
      </c>
    </row>
    <row r="693" spans="1:14" ht="19.5" customHeight="1">
      <c r="A693" s="560" t="str">
        <f t="shared" si="23"/>
        <v/>
      </c>
      <c r="N693" s="578" t="str">
        <f t="shared" si="24"/>
        <v/>
      </c>
    </row>
    <row r="694" spans="1:14" ht="19.5" customHeight="1">
      <c r="A694" s="560" t="str">
        <f t="shared" ref="A694:A704" si="25">IF(C694&lt;&gt;"",ROW(C694)-1,"")</f>
        <v/>
      </c>
      <c r="N694" s="578" t="str">
        <f t="shared" si="24"/>
        <v/>
      </c>
    </row>
    <row r="695" spans="1:14" ht="19.5" customHeight="1">
      <c r="A695" s="560" t="str">
        <f t="shared" si="25"/>
        <v/>
      </c>
      <c r="N695" s="578" t="str">
        <f t="shared" si="24"/>
        <v/>
      </c>
    </row>
    <row r="696" spans="1:14" ht="19.5" customHeight="1">
      <c r="A696" s="560" t="str">
        <f t="shared" si="25"/>
        <v/>
      </c>
      <c r="N696" s="578" t="str">
        <f t="shared" si="24"/>
        <v/>
      </c>
    </row>
    <row r="697" spans="1:14" ht="19.5" customHeight="1">
      <c r="A697" s="560" t="str">
        <f t="shared" si="25"/>
        <v/>
      </c>
      <c r="N697" s="578" t="str">
        <f t="shared" si="24"/>
        <v/>
      </c>
    </row>
    <row r="698" spans="1:14" ht="19.5" customHeight="1">
      <c r="A698" s="560" t="str">
        <f t="shared" si="25"/>
        <v/>
      </c>
      <c r="N698" s="578" t="str">
        <f t="shared" si="24"/>
        <v/>
      </c>
    </row>
    <row r="699" spans="1:14" ht="19.5" customHeight="1">
      <c r="A699" s="560" t="str">
        <f t="shared" si="25"/>
        <v/>
      </c>
      <c r="N699" s="578" t="str">
        <f t="shared" si="24"/>
        <v/>
      </c>
    </row>
    <row r="700" spans="1:14" ht="19.5" customHeight="1">
      <c r="A700" s="560" t="str">
        <f t="shared" si="25"/>
        <v/>
      </c>
      <c r="N700" s="578" t="str">
        <f t="shared" si="24"/>
        <v/>
      </c>
    </row>
    <row r="701" spans="1:14" ht="19.5" customHeight="1">
      <c r="A701" s="560" t="str">
        <f t="shared" si="25"/>
        <v/>
      </c>
      <c r="N701" s="578" t="str">
        <f t="shared" si="24"/>
        <v/>
      </c>
    </row>
    <row r="702" spans="1:14" ht="19.5" customHeight="1">
      <c r="A702" s="560" t="str">
        <f t="shared" si="25"/>
        <v/>
      </c>
      <c r="N702" s="578" t="str">
        <f t="shared" si="24"/>
        <v/>
      </c>
    </row>
    <row r="703" spans="1:14" ht="19.5" customHeight="1">
      <c r="A703" s="560" t="str">
        <f t="shared" si="25"/>
        <v/>
      </c>
      <c r="N703" s="578" t="str">
        <f t="shared" si="24"/>
        <v/>
      </c>
    </row>
    <row r="704" spans="1:14" ht="19.5" customHeight="1">
      <c r="A704" s="560" t="str">
        <f t="shared" si="25"/>
        <v/>
      </c>
      <c r="N704" s="578" t="str">
        <f t="shared" si="24"/>
        <v/>
      </c>
    </row>
  </sheetData>
  <phoneticPr fontId="98" type="noConversion"/>
  <pageMargins left="0.7" right="0.7" top="0.75" bottom="0.75" header="0.3" footer="0.3"/>
  <pageSetup paperSize="9" orientation="portrait"/>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A1:Q55"/>
  <sheetViews>
    <sheetView view="pageBreakPreview" topLeftCell="A34" zoomScale="115" zoomScaleNormal="100" zoomScaleSheetLayoutView="115" workbookViewId="0">
      <selection activeCell="F23" sqref="A22:F23"/>
    </sheetView>
  </sheetViews>
  <sheetFormatPr defaultColWidth="8.265625" defaultRowHeight="12.75"/>
  <cols>
    <col min="1" max="1" width="11.796875" style="341" customWidth="1"/>
    <col min="2" max="2" width="10.59765625" style="341" customWidth="1"/>
    <col min="3" max="3" width="16.59765625" style="341" customWidth="1"/>
    <col min="4" max="4" width="17.265625" style="341" customWidth="1"/>
    <col min="5" max="5" width="20.33203125" style="341" customWidth="1"/>
    <col min="6" max="9" width="8.265625" style="341"/>
    <col min="10" max="10" width="11.33203125" style="341" customWidth="1"/>
    <col min="11" max="16384" width="8.265625" style="341"/>
  </cols>
  <sheetData>
    <row r="1" spans="1:17" ht="52.5" customHeight="1"/>
    <row r="2" spans="1:17" ht="13.9">
      <c r="A2" s="546"/>
      <c r="B2" s="547"/>
      <c r="C2" s="632" t="s">
        <v>186</v>
      </c>
      <c r="D2" s="632"/>
      <c r="E2" s="546"/>
      <c r="F2" s="548"/>
      <c r="G2" s="548"/>
      <c r="H2" s="382" t="str">
        <f>HYPERLINK("#基本信息!I1","返回基本信息")</f>
        <v>返回基本信息</v>
      </c>
      <c r="I2" s="548"/>
      <c r="J2" s="548"/>
      <c r="K2" s="548"/>
      <c r="L2" s="548"/>
      <c r="M2" s="548"/>
      <c r="N2" s="548"/>
      <c r="O2" s="548"/>
      <c r="P2" s="548"/>
      <c r="Q2" s="548"/>
    </row>
    <row r="3" spans="1:17" s="109" customFormat="1" ht="13.9">
      <c r="A3" s="546"/>
      <c r="B3" s="546"/>
      <c r="C3" s="546"/>
      <c r="D3" s="393" t="s">
        <v>187</v>
      </c>
      <c r="E3" s="394" t="e">
        <f>INDEX(基本信息!E:E,MATCH(企业询证函模板!E4,基本信息!D:D,0))</f>
        <v>#N/A</v>
      </c>
      <c r="F3" s="549"/>
      <c r="G3" s="549"/>
      <c r="H3" s="382" t="str">
        <f>HYPERLINK("#操作平台!A3","返回操作平台")</f>
        <v>返回操作平台</v>
      </c>
      <c r="I3" s="549"/>
      <c r="J3" s="549"/>
      <c r="K3" s="554" t="s">
        <v>188</v>
      </c>
      <c r="L3" s="549"/>
      <c r="M3" s="549"/>
      <c r="N3" s="549"/>
      <c r="O3" s="549"/>
      <c r="P3" s="549"/>
      <c r="Q3" s="549"/>
    </row>
    <row r="4" spans="1:17" s="109" customFormat="1" ht="13.15">
      <c r="A4" s="344"/>
      <c r="B4" s="344"/>
      <c r="C4" s="344"/>
      <c r="D4" s="393" t="s">
        <v>189</v>
      </c>
      <c r="E4" s="395" t="s">
        <v>190</v>
      </c>
      <c r="F4" s="549"/>
      <c r="G4" s="549"/>
      <c r="H4" s="549"/>
      <c r="I4" s="549"/>
      <c r="J4" s="549"/>
      <c r="K4" s="549"/>
      <c r="L4" s="549"/>
      <c r="M4" s="549"/>
      <c r="N4" s="549"/>
      <c r="O4" s="549"/>
      <c r="P4" s="549"/>
      <c r="Q4" s="549"/>
    </row>
    <row r="5" spans="1:17" s="109" customFormat="1" ht="13.9">
      <c r="A5" s="396" t="e">
        <f>"敬启者（"&amp;INDEX(基本信息!C:C,MATCH(企业询证函模板!E4,基本信息!D:D,0))&amp;"）"</f>
        <v>#N/A</v>
      </c>
      <c r="B5" s="61"/>
      <c r="F5" s="549"/>
      <c r="G5" s="549"/>
      <c r="H5" s="382" t="str">
        <f>HYPERLINK("#使用说明!B2","返回模板池")</f>
        <v>返回模板池</v>
      </c>
      <c r="I5" s="549"/>
      <c r="J5" s="549"/>
      <c r="K5" s="406" t="s">
        <v>51</v>
      </c>
      <c r="L5" s="210" t="s">
        <v>191</v>
      </c>
      <c r="M5" s="549"/>
      <c r="N5" s="549"/>
      <c r="O5" s="549"/>
      <c r="P5" s="549"/>
      <c r="Q5" s="549"/>
    </row>
    <row r="6" spans="1:17" s="109" customFormat="1" ht="13.05" customHeight="1">
      <c r="A6" s="628" t="s">
        <v>192</v>
      </c>
      <c r="B6" s="628"/>
      <c r="C6" s="628"/>
      <c r="D6" s="628"/>
      <c r="E6" s="628"/>
      <c r="F6" s="549"/>
      <c r="G6" s="549"/>
      <c r="H6" s="549"/>
      <c r="I6" s="549"/>
      <c r="J6" s="549"/>
      <c r="K6" s="406" t="s">
        <v>53</v>
      </c>
      <c r="L6" s="210" t="s">
        <v>193</v>
      </c>
      <c r="M6" s="549"/>
      <c r="N6" s="549"/>
      <c r="O6" s="549"/>
      <c r="P6" s="549"/>
      <c r="Q6" s="549"/>
    </row>
    <row r="7" spans="1:17" s="109" customFormat="1" ht="13.15">
      <c r="A7" s="628"/>
      <c r="B7" s="628"/>
      <c r="C7" s="628"/>
      <c r="D7" s="628"/>
      <c r="E7" s="628"/>
      <c r="F7" s="549"/>
      <c r="G7" s="549"/>
      <c r="H7" s="549"/>
      <c r="I7" s="549"/>
      <c r="J7" s="549"/>
      <c r="K7" s="406" t="s">
        <v>55</v>
      </c>
      <c r="L7" s="210" t="s">
        <v>194</v>
      </c>
      <c r="M7" s="549"/>
      <c r="N7" s="549"/>
      <c r="O7" s="549"/>
      <c r="P7" s="549"/>
      <c r="Q7" s="549"/>
    </row>
    <row r="8" spans="1:17" s="109" customFormat="1" ht="13.15">
      <c r="A8" s="628"/>
      <c r="B8" s="628"/>
      <c r="C8" s="628"/>
      <c r="D8" s="628"/>
      <c r="E8" s="628"/>
      <c r="F8" s="549"/>
      <c r="G8" s="549"/>
      <c r="H8" s="549"/>
      <c r="I8" s="549"/>
      <c r="J8" s="549"/>
      <c r="K8" s="406" t="s">
        <v>57</v>
      </c>
      <c r="L8" s="210" t="s">
        <v>195</v>
      </c>
      <c r="M8" s="549"/>
      <c r="N8" s="549"/>
      <c r="O8" s="549"/>
      <c r="P8" s="549"/>
      <c r="Q8" s="549"/>
    </row>
    <row r="9" spans="1:17" s="109" customFormat="1" ht="13.15">
      <c r="A9" s="628"/>
      <c r="B9" s="628"/>
      <c r="C9" s="628"/>
      <c r="D9" s="628"/>
      <c r="E9" s="628"/>
      <c r="F9" s="549"/>
      <c r="G9" s="549"/>
      <c r="H9" s="549"/>
      <c r="I9" s="549"/>
      <c r="J9" s="549"/>
      <c r="K9" s="406" t="s">
        <v>59</v>
      </c>
      <c r="L9" s="383" t="s">
        <v>3</v>
      </c>
      <c r="M9" s="549"/>
      <c r="N9" s="549"/>
      <c r="O9" s="549"/>
      <c r="P9" s="549"/>
      <c r="Q9" s="549"/>
    </row>
    <row r="10" spans="1:17" s="109" customFormat="1" ht="13.15">
      <c r="A10" s="628"/>
      <c r="B10" s="628"/>
      <c r="C10" s="628"/>
      <c r="D10" s="628"/>
      <c r="E10" s="628"/>
      <c r="F10" s="549"/>
      <c r="G10" s="549"/>
      <c r="H10" s="549"/>
      <c r="I10" s="549"/>
      <c r="J10" s="549"/>
      <c r="K10" s="549" t="s">
        <v>60</v>
      </c>
      <c r="L10" s="555" t="s">
        <v>196</v>
      </c>
      <c r="M10" s="549"/>
      <c r="N10" s="549"/>
      <c r="O10" s="549"/>
      <c r="P10" s="549"/>
      <c r="Q10" s="549"/>
    </row>
    <row r="11" spans="1:17" s="109" customFormat="1" ht="13.15">
      <c r="A11" s="628"/>
      <c r="B11" s="628"/>
      <c r="C11" s="628"/>
      <c r="D11" s="628"/>
      <c r="E11" s="628"/>
      <c r="F11" s="549"/>
      <c r="G11" s="549"/>
      <c r="H11" s="549"/>
      <c r="I11" s="549"/>
      <c r="J11" s="549"/>
      <c r="K11" s="549" t="s">
        <v>62</v>
      </c>
      <c r="L11" s="555">
        <v>60</v>
      </c>
      <c r="M11" s="549"/>
      <c r="N11" s="549"/>
      <c r="O11" s="549"/>
      <c r="P11" s="549"/>
      <c r="Q11" s="549"/>
    </row>
    <row r="12" spans="1:17" s="109" customFormat="1" ht="13.05" customHeight="1">
      <c r="A12" s="397" t="s">
        <v>197</v>
      </c>
      <c r="B12" s="172" t="s">
        <v>198</v>
      </c>
      <c r="C12" s="173"/>
      <c r="D12" s="176"/>
      <c r="E12" s="174" t="s">
        <v>199</v>
      </c>
      <c r="F12" s="549"/>
      <c r="G12" s="549"/>
      <c r="H12" s="549"/>
      <c r="I12" s="549"/>
      <c r="J12" s="549"/>
      <c r="K12" s="549"/>
      <c r="L12" s="549"/>
      <c r="M12" s="549"/>
      <c r="N12" s="549"/>
      <c r="O12" s="549"/>
      <c r="P12" s="549"/>
      <c r="Q12" s="549"/>
    </row>
    <row r="13" spans="1:17" s="109" customFormat="1" ht="13.05" customHeight="1">
      <c r="A13" s="397" t="s">
        <v>200</v>
      </c>
      <c r="B13" s="172" t="s">
        <v>201</v>
      </c>
      <c r="C13" s="176"/>
      <c r="F13" s="549"/>
      <c r="G13" s="549"/>
      <c r="H13" s="549"/>
      <c r="I13" s="549"/>
      <c r="J13" s="210" t="s">
        <v>65</v>
      </c>
      <c r="K13" s="210" t="s">
        <v>66</v>
      </c>
      <c r="L13" s="210" t="s">
        <v>67</v>
      </c>
      <c r="M13" s="633" t="s">
        <v>68</v>
      </c>
      <c r="N13" s="633"/>
      <c r="O13" s="633"/>
      <c r="P13" s="633"/>
      <c r="Q13" s="633"/>
    </row>
    <row r="14" spans="1:17" s="109" customFormat="1" ht="13.5">
      <c r="A14" s="177" t="s">
        <v>202</v>
      </c>
      <c r="B14" s="108" t="s">
        <v>203</v>
      </c>
      <c r="E14" s="178" t="s">
        <v>204</v>
      </c>
      <c r="F14" s="549"/>
      <c r="G14" s="549"/>
      <c r="H14" s="549"/>
      <c r="I14" s="549"/>
      <c r="J14" s="385" t="s">
        <v>205</v>
      </c>
      <c r="K14" s="556">
        <v>17</v>
      </c>
      <c r="L14" s="557" t="s">
        <v>67</v>
      </c>
      <c r="M14" s="634" t="s">
        <v>206</v>
      </c>
      <c r="N14" s="634"/>
      <c r="O14" s="407" t="s">
        <v>207</v>
      </c>
      <c r="P14" s="407" t="s">
        <v>208</v>
      </c>
      <c r="Q14" s="407" t="s">
        <v>78</v>
      </c>
    </row>
    <row r="15" spans="1:17" s="109" customFormat="1" ht="13.5">
      <c r="A15" s="113" t="s">
        <v>209</v>
      </c>
      <c r="B15" s="177"/>
      <c r="C15" s="179"/>
      <c r="D15" s="179"/>
      <c r="E15" s="113"/>
      <c r="F15" s="549"/>
      <c r="G15" s="549"/>
      <c r="H15" s="549"/>
      <c r="I15" s="549"/>
      <c r="J15" s="385" t="s">
        <v>210</v>
      </c>
      <c r="K15" s="556">
        <v>22</v>
      </c>
      <c r="L15" s="557" t="s">
        <v>67</v>
      </c>
      <c r="M15" s="634" t="s">
        <v>211</v>
      </c>
      <c r="N15" s="634"/>
      <c r="O15" s="407" t="s">
        <v>212</v>
      </c>
      <c r="P15" s="407" t="s">
        <v>213</v>
      </c>
      <c r="Q15" s="407" t="s">
        <v>78</v>
      </c>
    </row>
    <row r="16" spans="1:17" s="109" customFormat="1" ht="13.5">
      <c r="A16" s="615" t="s">
        <v>206</v>
      </c>
      <c r="B16" s="615"/>
      <c r="C16" s="398" t="s">
        <v>207</v>
      </c>
      <c r="D16" s="398" t="s">
        <v>208</v>
      </c>
      <c r="E16" s="398" t="s">
        <v>78</v>
      </c>
      <c r="F16" s="549"/>
      <c r="G16" s="549"/>
      <c r="H16" s="549"/>
      <c r="I16" s="549"/>
      <c r="J16" s="385" t="s">
        <v>214</v>
      </c>
      <c r="K16" s="556" t="s">
        <v>215</v>
      </c>
      <c r="L16" s="557" t="s">
        <v>67</v>
      </c>
      <c r="M16" s="407" t="s">
        <v>104</v>
      </c>
      <c r="N16" s="407" t="s">
        <v>105</v>
      </c>
      <c r="O16" s="552" t="s">
        <v>216</v>
      </c>
      <c r="P16" s="552" t="s">
        <v>123</v>
      </c>
      <c r="Q16" s="552" t="s">
        <v>217</v>
      </c>
    </row>
    <row r="17" spans="1:17" s="109" customFormat="1" ht="13.5">
      <c r="A17" s="615"/>
      <c r="B17" s="615"/>
      <c r="C17" s="398"/>
      <c r="D17" s="398"/>
      <c r="E17" s="400"/>
      <c r="F17" s="549"/>
      <c r="G17" s="549"/>
      <c r="H17" s="549"/>
      <c r="I17" s="549"/>
      <c r="J17" s="385" t="s">
        <v>99</v>
      </c>
      <c r="K17" s="556" t="s">
        <v>215</v>
      </c>
      <c r="L17" s="557" t="s">
        <v>67</v>
      </c>
      <c r="M17" s="407" t="s">
        <v>104</v>
      </c>
      <c r="N17" s="407" t="s">
        <v>105</v>
      </c>
      <c r="O17" s="552" t="s">
        <v>216</v>
      </c>
      <c r="P17" s="552" t="s">
        <v>123</v>
      </c>
      <c r="Q17" s="552" t="s">
        <v>218</v>
      </c>
    </row>
    <row r="18" spans="1:17" s="109" customFormat="1" ht="13.15">
      <c r="A18" s="615"/>
      <c r="B18" s="615"/>
      <c r="C18" s="398"/>
      <c r="D18" s="398"/>
      <c r="E18" s="400"/>
      <c r="F18" s="549"/>
      <c r="G18" s="549"/>
      <c r="H18" s="549"/>
      <c r="I18" s="549"/>
      <c r="J18" s="557" t="s">
        <v>219</v>
      </c>
      <c r="K18" s="556" t="s">
        <v>215</v>
      </c>
      <c r="L18" s="557" t="s">
        <v>67</v>
      </c>
      <c r="M18" s="191" t="s">
        <v>104</v>
      </c>
      <c r="N18" s="558" t="s">
        <v>105</v>
      </c>
      <c r="O18" s="559" t="s">
        <v>216</v>
      </c>
      <c r="P18" s="559" t="s">
        <v>123</v>
      </c>
      <c r="Q18" s="191" t="s">
        <v>218</v>
      </c>
    </row>
    <row r="19" spans="1:17" s="340" customFormat="1" ht="13.15">
      <c r="A19" s="357"/>
      <c r="B19" s="357"/>
      <c r="C19" s="357"/>
      <c r="D19" s="357"/>
      <c r="E19" s="357"/>
      <c r="F19" s="550"/>
      <c r="G19" s="550"/>
      <c r="H19" s="550"/>
      <c r="I19" s="550"/>
      <c r="J19" s="549"/>
      <c r="K19" s="549"/>
      <c r="L19" s="549"/>
      <c r="M19" s="549"/>
      <c r="N19" s="549"/>
      <c r="O19" s="549"/>
      <c r="P19" s="549"/>
      <c r="Q19" s="549"/>
    </row>
    <row r="20" spans="1:17" s="109" customFormat="1" ht="13.15">
      <c r="A20" s="629" t="s">
        <v>220</v>
      </c>
      <c r="B20" s="629"/>
      <c r="C20" s="629"/>
      <c r="D20" s="629"/>
      <c r="E20" s="629"/>
      <c r="F20" s="549"/>
      <c r="G20" s="549"/>
      <c r="H20" s="549"/>
      <c r="I20" s="549"/>
      <c r="J20" s="549"/>
      <c r="K20" s="549"/>
      <c r="L20" s="549"/>
      <c r="M20" s="549"/>
      <c r="N20" s="549"/>
      <c r="O20" s="549"/>
      <c r="P20" s="549"/>
      <c r="Q20" s="549"/>
    </row>
    <row r="21" spans="1:17" s="109" customFormat="1" ht="13.15">
      <c r="A21" s="630" t="s">
        <v>221</v>
      </c>
      <c r="B21" s="631"/>
      <c r="C21" s="551" t="s">
        <v>212</v>
      </c>
      <c r="D21" s="551" t="s">
        <v>222</v>
      </c>
      <c r="E21" s="551" t="s">
        <v>223</v>
      </c>
      <c r="F21" s="549"/>
      <c r="G21" s="549"/>
      <c r="H21" s="549"/>
      <c r="I21" s="549"/>
      <c r="J21" s="549"/>
      <c r="K21" s="549"/>
      <c r="L21" s="549"/>
      <c r="M21" s="549"/>
      <c r="N21" s="549"/>
      <c r="O21" s="549"/>
      <c r="P21" s="549"/>
      <c r="Q21" s="549"/>
    </row>
    <row r="22" spans="1:17" s="109" customFormat="1" ht="13.15">
      <c r="A22" s="615"/>
      <c r="B22" s="615"/>
      <c r="C22" s="398"/>
      <c r="D22" s="398"/>
      <c r="E22" s="398"/>
    </row>
    <row r="23" spans="1:17" s="109" customFormat="1" ht="13.15">
      <c r="A23" s="615"/>
      <c r="B23" s="615"/>
      <c r="C23" s="398"/>
      <c r="D23" s="398"/>
      <c r="E23" s="398"/>
    </row>
    <row r="24" spans="1:17" s="109" customFormat="1" ht="13.15">
      <c r="A24" s="409"/>
      <c r="B24" s="366"/>
      <c r="C24" s="367"/>
      <c r="D24" s="368"/>
      <c r="E24" s="368"/>
    </row>
    <row r="25" spans="1:17" s="109" customFormat="1" ht="13.15">
      <c r="A25" s="177" t="s">
        <v>224</v>
      </c>
      <c r="B25" s="366"/>
      <c r="C25" s="367"/>
      <c r="D25" s="368"/>
      <c r="E25" s="368"/>
    </row>
    <row r="26" spans="1:17" s="109" customFormat="1" ht="13.15">
      <c r="A26" s="407" t="s">
        <v>104</v>
      </c>
      <c r="B26" s="407" t="s">
        <v>105</v>
      </c>
      <c r="C26" s="552" t="s">
        <v>216</v>
      </c>
      <c r="D26" s="552" t="s">
        <v>123</v>
      </c>
      <c r="E26" s="552" t="s">
        <v>217</v>
      </c>
    </row>
    <row r="27" spans="1:17" s="109" customFormat="1" ht="13.15">
      <c r="A27" s="407"/>
      <c r="B27" s="407"/>
      <c r="C27" s="552"/>
      <c r="D27" s="552"/>
      <c r="E27" s="552"/>
    </row>
    <row r="28" spans="1:17" s="109" customFormat="1" ht="13.15">
      <c r="A28" s="407"/>
      <c r="B28" s="407"/>
      <c r="C28" s="552"/>
      <c r="D28" s="552"/>
      <c r="E28" s="552"/>
    </row>
    <row r="29" spans="1:17" s="109" customFormat="1" ht="13.15">
      <c r="A29" s="409"/>
      <c r="B29" s="366"/>
      <c r="C29" s="367"/>
      <c r="D29" s="368"/>
      <c r="E29" s="368"/>
    </row>
    <row r="30" spans="1:17" s="109" customFormat="1" ht="13.15">
      <c r="A30" s="177" t="s">
        <v>225</v>
      </c>
      <c r="B30" s="553"/>
      <c r="C30" s="357"/>
      <c r="D30" s="370"/>
      <c r="E30" s="357"/>
    </row>
    <row r="31" spans="1:17" s="109" customFormat="1" ht="13.15">
      <c r="A31" s="626"/>
      <c r="B31" s="626"/>
      <c r="C31" s="626"/>
      <c r="D31" s="626"/>
      <c r="E31" s="626"/>
    </row>
    <row r="32" spans="1:17" s="109" customFormat="1" ht="13.15">
      <c r="A32" s="177" t="s">
        <v>226</v>
      </c>
      <c r="B32" s="61"/>
      <c r="C32" s="179"/>
      <c r="D32" s="179"/>
    </row>
    <row r="33" spans="1:5" s="109" customFormat="1" ht="13.15">
      <c r="A33" s="61"/>
      <c r="B33" s="61"/>
      <c r="C33" s="179"/>
      <c r="D33" s="179"/>
    </row>
    <row r="34" spans="1:5" s="109" customFormat="1" ht="13.15"/>
    <row r="35" spans="1:5" s="109" customFormat="1" ht="13.15"/>
    <row r="36" spans="1:5" s="109" customFormat="1" ht="13.15">
      <c r="D36" s="627" t="e">
        <f>INDEX(基本信息!B:B,MATCH(E4,基本信息!D:D,0))</f>
        <v>#N/A</v>
      </c>
      <c r="E36" s="627"/>
    </row>
    <row r="37" spans="1:5" s="109" customFormat="1" ht="13.15">
      <c r="D37" s="169" t="s">
        <v>227</v>
      </c>
    </row>
    <row r="38" spans="1:5" s="109" customFormat="1" ht="13.15">
      <c r="D38" s="401" t="s">
        <v>228</v>
      </c>
    </row>
    <row r="39" spans="1:5" s="109" customFormat="1" ht="13.15"/>
    <row r="40" spans="1:5" s="109" customFormat="1" ht="13.15">
      <c r="A40" s="402" t="s">
        <v>229</v>
      </c>
      <c r="B40" s="374"/>
      <c r="C40" s="374"/>
      <c r="D40" s="605" t="s">
        <v>230</v>
      </c>
      <c r="E40" s="403"/>
    </row>
    <row r="41" spans="1:5" s="109" customFormat="1" ht="13.15">
      <c r="A41" s="375"/>
      <c r="D41" s="375"/>
      <c r="E41" s="376"/>
    </row>
    <row r="42" spans="1:5" s="109" customFormat="1" ht="13.15">
      <c r="A42" s="375"/>
      <c r="D42" s="375"/>
      <c r="E42" s="376"/>
    </row>
    <row r="43" spans="1:5" s="109" customFormat="1" ht="13.15">
      <c r="A43" s="375"/>
      <c r="D43" s="375"/>
      <c r="E43" s="376"/>
    </row>
    <row r="44" spans="1:5" s="109" customFormat="1" ht="13.15">
      <c r="A44" s="375"/>
      <c r="D44" s="375"/>
      <c r="E44" s="376"/>
    </row>
    <row r="45" spans="1:5" s="109" customFormat="1" ht="13.15">
      <c r="A45" s="375"/>
      <c r="D45" s="375"/>
      <c r="E45" s="376"/>
    </row>
    <row r="46" spans="1:5" s="109" customFormat="1" ht="13.15">
      <c r="A46" s="375"/>
      <c r="D46" s="375"/>
      <c r="E46" s="376"/>
    </row>
    <row r="47" spans="1:5" s="109" customFormat="1" ht="13.15">
      <c r="A47" s="375"/>
      <c r="D47" s="375"/>
      <c r="E47" s="376"/>
    </row>
    <row r="48" spans="1:5" s="109" customFormat="1" ht="13.15">
      <c r="A48" s="375"/>
      <c r="D48" s="375"/>
      <c r="E48" s="376"/>
    </row>
    <row r="49" spans="1:5" s="109" customFormat="1" ht="13.15">
      <c r="A49" s="375"/>
      <c r="D49" s="375"/>
      <c r="E49" s="376"/>
    </row>
    <row r="50" spans="1:5" s="109" customFormat="1" ht="13.15">
      <c r="A50" s="375"/>
      <c r="D50" s="375"/>
      <c r="E50" s="376"/>
    </row>
    <row r="51" spans="1:5" s="109" customFormat="1" ht="13.15">
      <c r="A51" s="375"/>
      <c r="D51" s="375"/>
      <c r="E51" s="376"/>
    </row>
    <row r="52" spans="1:5" s="109" customFormat="1" ht="13.15">
      <c r="A52" s="375"/>
      <c r="B52" s="411" t="s">
        <v>231</v>
      </c>
      <c r="D52" s="378" t="s">
        <v>231</v>
      </c>
      <c r="E52" s="376"/>
    </row>
    <row r="53" spans="1:5" s="109" customFormat="1" ht="13.15">
      <c r="A53" s="375"/>
      <c r="B53" s="411" t="s">
        <v>232</v>
      </c>
      <c r="D53" s="378" t="s">
        <v>232</v>
      </c>
      <c r="E53" s="376"/>
    </row>
    <row r="54" spans="1:5" s="109" customFormat="1" ht="13.15">
      <c r="A54" s="375"/>
      <c r="B54" s="411" t="s">
        <v>227</v>
      </c>
      <c r="D54" s="378" t="s">
        <v>227</v>
      </c>
      <c r="E54" s="376"/>
    </row>
    <row r="55" spans="1:5" s="109" customFormat="1" ht="13.15">
      <c r="A55" s="379"/>
      <c r="B55" s="380"/>
      <c r="C55" s="380"/>
      <c r="D55" s="379"/>
      <c r="E55" s="381"/>
    </row>
  </sheetData>
  <mergeCells count="14">
    <mergeCell ref="C2:D2"/>
    <mergeCell ref="M13:Q13"/>
    <mergeCell ref="M14:N14"/>
    <mergeCell ref="M15:N15"/>
    <mergeCell ref="A16:B16"/>
    <mergeCell ref="A23:B23"/>
    <mergeCell ref="A31:E31"/>
    <mergeCell ref="D36:E36"/>
    <mergeCell ref="A6:E11"/>
    <mergeCell ref="A17:B17"/>
    <mergeCell ref="A18:B18"/>
    <mergeCell ref="A20:E20"/>
    <mergeCell ref="A21:B21"/>
    <mergeCell ref="A22:B22"/>
  </mergeCells>
  <phoneticPr fontId="98" type="noConversion"/>
  <printOptions horizontalCentered="1" verticalCentered="1"/>
  <pageMargins left="0.7" right="0.7" top="0.75" bottom="0.75" header="0.3" footer="0.3"/>
  <pageSetup paperSize="9"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AC167"/>
  <sheetViews>
    <sheetView view="pageBreakPreview" zoomScaleNormal="100" zoomScaleSheetLayoutView="100" workbookViewId="0">
      <selection activeCell="I18" sqref="I18"/>
    </sheetView>
  </sheetViews>
  <sheetFormatPr defaultColWidth="8.265625" defaultRowHeight="17.649999999999999"/>
  <cols>
    <col min="1" max="1" width="21.06640625" style="459" customWidth="1"/>
    <col min="2" max="2" width="11.06640625" style="459" customWidth="1"/>
    <col min="3" max="3" width="6.33203125" style="459" customWidth="1"/>
    <col min="4" max="4" width="6.73046875" style="459" customWidth="1"/>
    <col min="5" max="5" width="9.33203125" style="459" customWidth="1"/>
    <col min="6" max="6" width="10.265625" style="459" customWidth="1"/>
    <col min="7" max="7" width="14.33203125" style="459" customWidth="1"/>
    <col min="8" max="8" width="6.796875" style="459" customWidth="1"/>
    <col min="9" max="9" width="12" style="459" customWidth="1"/>
    <col min="10" max="10" width="11.46484375" style="459" customWidth="1"/>
    <col min="11" max="13" width="8.265625" style="459"/>
    <col min="14" max="14" width="20.46484375" style="161" customWidth="1"/>
    <col min="15" max="16" width="8.265625" style="161"/>
    <col min="17" max="17" width="10.33203125" style="161" customWidth="1"/>
    <col min="18" max="24" width="8.265625" style="161"/>
    <col min="25" max="25" width="11.59765625" style="161" customWidth="1"/>
    <col min="26" max="26" width="8.265625" style="161"/>
    <col min="27" max="225" width="8.265625" style="459"/>
    <col min="226" max="226" width="11.06640625" style="459" customWidth="1"/>
    <col min="227" max="227" width="8.265625" style="459"/>
    <col min="228" max="228" width="9.46484375" style="459" customWidth="1"/>
    <col min="229" max="229" width="8.265625" style="459"/>
    <col min="230" max="230" width="14.59765625" style="459" customWidth="1"/>
    <col min="231" max="232" width="12.796875" style="459" customWidth="1"/>
    <col min="233" max="233" width="11.33203125" style="459" customWidth="1"/>
    <col min="234" max="234" width="11.06640625" style="459" customWidth="1"/>
    <col min="235" max="481" width="8.265625" style="459"/>
    <col min="482" max="482" width="11.06640625" style="459" customWidth="1"/>
    <col min="483" max="483" width="8.265625" style="459"/>
    <col min="484" max="484" width="9.46484375" style="459" customWidth="1"/>
    <col min="485" max="485" width="8.265625" style="459"/>
    <col min="486" max="486" width="14.59765625" style="459" customWidth="1"/>
    <col min="487" max="488" width="12.796875" style="459" customWidth="1"/>
    <col min="489" max="489" width="11.33203125" style="459" customWidth="1"/>
    <col min="490" max="490" width="11.06640625" style="459" customWidth="1"/>
    <col min="491" max="737" width="8.265625" style="459"/>
    <col min="738" max="738" width="11.06640625" style="459" customWidth="1"/>
    <col min="739" max="739" width="8.265625" style="459"/>
    <col min="740" max="740" width="9.46484375" style="459" customWidth="1"/>
    <col min="741" max="741" width="8.265625" style="459"/>
    <col min="742" max="742" width="14.59765625" style="459" customWidth="1"/>
    <col min="743" max="744" width="12.796875" style="459" customWidth="1"/>
    <col min="745" max="745" width="11.33203125" style="459" customWidth="1"/>
    <col min="746" max="746" width="11.06640625" style="459" customWidth="1"/>
    <col min="747" max="993" width="8.265625" style="459"/>
    <col min="994" max="994" width="11.06640625" style="459" customWidth="1"/>
    <col min="995" max="995" width="8.265625" style="459"/>
    <col min="996" max="996" width="9.46484375" style="459" customWidth="1"/>
    <col min="997" max="997" width="8.265625" style="459"/>
    <col min="998" max="998" width="14.59765625" style="459" customWidth="1"/>
    <col min="999" max="1000" width="12.796875" style="459" customWidth="1"/>
    <col min="1001" max="1001" width="11.33203125" style="459" customWidth="1"/>
    <col min="1002" max="1002" width="11.06640625" style="459" customWidth="1"/>
    <col min="1003" max="1249" width="8.265625" style="459"/>
    <col min="1250" max="1250" width="11.06640625" style="459" customWidth="1"/>
    <col min="1251" max="1251" width="8.265625" style="459"/>
    <col min="1252" max="1252" width="9.46484375" style="459" customWidth="1"/>
    <col min="1253" max="1253" width="8.265625" style="459"/>
    <col min="1254" max="1254" width="14.59765625" style="459" customWidth="1"/>
    <col min="1255" max="1256" width="12.796875" style="459" customWidth="1"/>
    <col min="1257" max="1257" width="11.33203125" style="459" customWidth="1"/>
    <col min="1258" max="1258" width="11.06640625" style="459" customWidth="1"/>
    <col min="1259" max="1505" width="8.265625" style="459"/>
    <col min="1506" max="1506" width="11.06640625" style="459" customWidth="1"/>
    <col min="1507" max="1507" width="8.265625" style="459"/>
    <col min="1508" max="1508" width="9.46484375" style="459" customWidth="1"/>
    <col min="1509" max="1509" width="8.265625" style="459"/>
    <col min="1510" max="1510" width="14.59765625" style="459" customWidth="1"/>
    <col min="1511" max="1512" width="12.796875" style="459" customWidth="1"/>
    <col min="1513" max="1513" width="11.33203125" style="459" customWidth="1"/>
    <col min="1514" max="1514" width="11.06640625" style="459" customWidth="1"/>
    <col min="1515" max="1761" width="8.265625" style="459"/>
    <col min="1762" max="1762" width="11.06640625" style="459" customWidth="1"/>
    <col min="1763" max="1763" width="8.265625" style="459"/>
    <col min="1764" max="1764" width="9.46484375" style="459" customWidth="1"/>
    <col min="1765" max="1765" width="8.265625" style="459"/>
    <col min="1766" max="1766" width="14.59765625" style="459" customWidth="1"/>
    <col min="1767" max="1768" width="12.796875" style="459" customWidth="1"/>
    <col min="1769" max="1769" width="11.33203125" style="459" customWidth="1"/>
    <col min="1770" max="1770" width="11.06640625" style="459" customWidth="1"/>
    <col min="1771" max="2017" width="8.265625" style="459"/>
    <col min="2018" max="2018" width="11.06640625" style="459" customWidth="1"/>
    <col min="2019" max="2019" width="8.265625" style="459"/>
    <col min="2020" max="2020" width="9.46484375" style="459" customWidth="1"/>
    <col min="2021" max="2021" width="8.265625" style="459"/>
    <col min="2022" max="2022" width="14.59765625" style="459" customWidth="1"/>
    <col min="2023" max="2024" width="12.796875" style="459" customWidth="1"/>
    <col min="2025" max="2025" width="11.33203125" style="459" customWidth="1"/>
    <col min="2026" max="2026" width="11.06640625" style="459" customWidth="1"/>
    <col min="2027" max="2273" width="8.265625" style="459"/>
    <col min="2274" max="2274" width="11.06640625" style="459" customWidth="1"/>
    <col min="2275" max="2275" width="8.265625" style="459"/>
    <col min="2276" max="2276" width="9.46484375" style="459" customWidth="1"/>
    <col min="2277" max="2277" width="8.265625" style="459"/>
    <col min="2278" max="2278" width="14.59765625" style="459" customWidth="1"/>
    <col min="2279" max="2280" width="12.796875" style="459" customWidth="1"/>
    <col min="2281" max="2281" width="11.33203125" style="459" customWidth="1"/>
    <col min="2282" max="2282" width="11.06640625" style="459" customWidth="1"/>
    <col min="2283" max="2529" width="8.265625" style="459"/>
    <col min="2530" max="2530" width="11.06640625" style="459" customWidth="1"/>
    <col min="2531" max="2531" width="8.265625" style="459"/>
    <col min="2532" max="2532" width="9.46484375" style="459" customWidth="1"/>
    <col min="2533" max="2533" width="8.265625" style="459"/>
    <col min="2534" max="2534" width="14.59765625" style="459" customWidth="1"/>
    <col min="2535" max="2536" width="12.796875" style="459" customWidth="1"/>
    <col min="2537" max="2537" width="11.33203125" style="459" customWidth="1"/>
    <col min="2538" max="2538" width="11.06640625" style="459" customWidth="1"/>
    <col min="2539" max="2785" width="8.265625" style="459"/>
    <col min="2786" max="2786" width="11.06640625" style="459" customWidth="1"/>
    <col min="2787" max="2787" width="8.265625" style="459"/>
    <col min="2788" max="2788" width="9.46484375" style="459" customWidth="1"/>
    <col min="2789" max="2789" width="8.265625" style="459"/>
    <col min="2790" max="2790" width="14.59765625" style="459" customWidth="1"/>
    <col min="2791" max="2792" width="12.796875" style="459" customWidth="1"/>
    <col min="2793" max="2793" width="11.33203125" style="459" customWidth="1"/>
    <col min="2794" max="2794" width="11.06640625" style="459" customWidth="1"/>
    <col min="2795" max="3041" width="8.265625" style="459"/>
    <col min="3042" max="3042" width="11.06640625" style="459" customWidth="1"/>
    <col min="3043" max="3043" width="8.265625" style="459"/>
    <col min="3044" max="3044" width="9.46484375" style="459" customWidth="1"/>
    <col min="3045" max="3045" width="8.265625" style="459"/>
    <col min="3046" max="3046" width="14.59765625" style="459" customWidth="1"/>
    <col min="3047" max="3048" width="12.796875" style="459" customWidth="1"/>
    <col min="3049" max="3049" width="11.33203125" style="459" customWidth="1"/>
    <col min="3050" max="3050" width="11.06640625" style="459" customWidth="1"/>
    <col min="3051" max="3297" width="8.265625" style="459"/>
    <col min="3298" max="3298" width="11.06640625" style="459" customWidth="1"/>
    <col min="3299" max="3299" width="8.265625" style="459"/>
    <col min="3300" max="3300" width="9.46484375" style="459" customWidth="1"/>
    <col min="3301" max="3301" width="8.265625" style="459"/>
    <col min="3302" max="3302" width="14.59765625" style="459" customWidth="1"/>
    <col min="3303" max="3304" width="12.796875" style="459" customWidth="1"/>
    <col min="3305" max="3305" width="11.33203125" style="459" customWidth="1"/>
    <col min="3306" max="3306" width="11.06640625" style="459" customWidth="1"/>
    <col min="3307" max="3553" width="8.265625" style="459"/>
    <col min="3554" max="3554" width="11.06640625" style="459" customWidth="1"/>
    <col min="3555" max="3555" width="8.265625" style="459"/>
    <col min="3556" max="3556" width="9.46484375" style="459" customWidth="1"/>
    <col min="3557" max="3557" width="8.265625" style="459"/>
    <col min="3558" max="3558" width="14.59765625" style="459" customWidth="1"/>
    <col min="3559" max="3560" width="12.796875" style="459" customWidth="1"/>
    <col min="3561" max="3561" width="11.33203125" style="459" customWidth="1"/>
    <col min="3562" max="3562" width="11.06640625" style="459" customWidth="1"/>
    <col min="3563" max="3809" width="8.265625" style="459"/>
    <col min="3810" max="3810" width="11.06640625" style="459" customWidth="1"/>
    <col min="3811" max="3811" width="8.265625" style="459"/>
    <col min="3812" max="3812" width="9.46484375" style="459" customWidth="1"/>
    <col min="3813" max="3813" width="8.265625" style="459"/>
    <col min="3814" max="3814" width="14.59765625" style="459" customWidth="1"/>
    <col min="3815" max="3816" width="12.796875" style="459" customWidth="1"/>
    <col min="3817" max="3817" width="11.33203125" style="459" customWidth="1"/>
    <col min="3818" max="3818" width="11.06640625" style="459" customWidth="1"/>
    <col min="3819" max="4065" width="8.265625" style="459"/>
    <col min="4066" max="4066" width="11.06640625" style="459" customWidth="1"/>
    <col min="4067" max="4067" width="8.265625" style="459"/>
    <col min="4068" max="4068" width="9.46484375" style="459" customWidth="1"/>
    <col min="4069" max="4069" width="8.265625" style="459"/>
    <col min="4070" max="4070" width="14.59765625" style="459" customWidth="1"/>
    <col min="4071" max="4072" width="12.796875" style="459" customWidth="1"/>
    <col min="4073" max="4073" width="11.33203125" style="459" customWidth="1"/>
    <col min="4074" max="4074" width="11.06640625" style="459" customWidth="1"/>
    <col min="4075" max="4321" width="8.265625" style="459"/>
    <col min="4322" max="4322" width="11.06640625" style="459" customWidth="1"/>
    <col min="4323" max="4323" width="8.265625" style="459"/>
    <col min="4324" max="4324" width="9.46484375" style="459" customWidth="1"/>
    <col min="4325" max="4325" width="8.265625" style="459"/>
    <col min="4326" max="4326" width="14.59765625" style="459" customWidth="1"/>
    <col min="4327" max="4328" width="12.796875" style="459" customWidth="1"/>
    <col min="4329" max="4329" width="11.33203125" style="459" customWidth="1"/>
    <col min="4330" max="4330" width="11.06640625" style="459" customWidth="1"/>
    <col min="4331" max="4577" width="8.265625" style="459"/>
    <col min="4578" max="4578" width="11.06640625" style="459" customWidth="1"/>
    <col min="4579" max="4579" width="8.265625" style="459"/>
    <col min="4580" max="4580" width="9.46484375" style="459" customWidth="1"/>
    <col min="4581" max="4581" width="8.265625" style="459"/>
    <col min="4582" max="4582" width="14.59765625" style="459" customWidth="1"/>
    <col min="4583" max="4584" width="12.796875" style="459" customWidth="1"/>
    <col min="4585" max="4585" width="11.33203125" style="459" customWidth="1"/>
    <col min="4586" max="4586" width="11.06640625" style="459" customWidth="1"/>
    <col min="4587" max="4833" width="8.265625" style="459"/>
    <col min="4834" max="4834" width="11.06640625" style="459" customWidth="1"/>
    <col min="4835" max="4835" width="8.265625" style="459"/>
    <col min="4836" max="4836" width="9.46484375" style="459" customWidth="1"/>
    <col min="4837" max="4837" width="8.265625" style="459"/>
    <col min="4838" max="4838" width="14.59765625" style="459" customWidth="1"/>
    <col min="4839" max="4840" width="12.796875" style="459" customWidth="1"/>
    <col min="4841" max="4841" width="11.33203125" style="459" customWidth="1"/>
    <col min="4842" max="4842" width="11.06640625" style="459" customWidth="1"/>
    <col min="4843" max="5089" width="8.265625" style="459"/>
    <col min="5090" max="5090" width="11.06640625" style="459" customWidth="1"/>
    <col min="5091" max="5091" width="8.265625" style="459"/>
    <col min="5092" max="5092" width="9.46484375" style="459" customWidth="1"/>
    <col min="5093" max="5093" width="8.265625" style="459"/>
    <col min="5094" max="5094" width="14.59765625" style="459" customWidth="1"/>
    <col min="5095" max="5096" width="12.796875" style="459" customWidth="1"/>
    <col min="5097" max="5097" width="11.33203125" style="459" customWidth="1"/>
    <col min="5098" max="5098" width="11.06640625" style="459" customWidth="1"/>
    <col min="5099" max="5345" width="8.265625" style="459"/>
    <col min="5346" max="5346" width="11.06640625" style="459" customWidth="1"/>
    <col min="5347" max="5347" width="8.265625" style="459"/>
    <col min="5348" max="5348" width="9.46484375" style="459" customWidth="1"/>
    <col min="5349" max="5349" width="8.265625" style="459"/>
    <col min="5350" max="5350" width="14.59765625" style="459" customWidth="1"/>
    <col min="5351" max="5352" width="12.796875" style="459" customWidth="1"/>
    <col min="5353" max="5353" width="11.33203125" style="459" customWidth="1"/>
    <col min="5354" max="5354" width="11.06640625" style="459" customWidth="1"/>
    <col min="5355" max="5601" width="8.265625" style="459"/>
    <col min="5602" max="5602" width="11.06640625" style="459" customWidth="1"/>
    <col min="5603" max="5603" width="8.265625" style="459"/>
    <col min="5604" max="5604" width="9.46484375" style="459" customWidth="1"/>
    <col min="5605" max="5605" width="8.265625" style="459"/>
    <col min="5606" max="5606" width="14.59765625" style="459" customWidth="1"/>
    <col min="5607" max="5608" width="12.796875" style="459" customWidth="1"/>
    <col min="5609" max="5609" width="11.33203125" style="459" customWidth="1"/>
    <col min="5610" max="5610" width="11.06640625" style="459" customWidth="1"/>
    <col min="5611" max="5857" width="8.265625" style="459"/>
    <col min="5858" max="5858" width="11.06640625" style="459" customWidth="1"/>
    <col min="5859" max="5859" width="8.265625" style="459"/>
    <col min="5860" max="5860" width="9.46484375" style="459" customWidth="1"/>
    <col min="5861" max="5861" width="8.265625" style="459"/>
    <col min="5862" max="5862" width="14.59765625" style="459" customWidth="1"/>
    <col min="5863" max="5864" width="12.796875" style="459" customWidth="1"/>
    <col min="5865" max="5865" width="11.33203125" style="459" customWidth="1"/>
    <col min="5866" max="5866" width="11.06640625" style="459" customWidth="1"/>
    <col min="5867" max="6113" width="8.265625" style="459"/>
    <col min="6114" max="6114" width="11.06640625" style="459" customWidth="1"/>
    <col min="6115" max="6115" width="8.265625" style="459"/>
    <col min="6116" max="6116" width="9.46484375" style="459" customWidth="1"/>
    <col min="6117" max="6117" width="8.265625" style="459"/>
    <col min="6118" max="6118" width="14.59765625" style="459" customWidth="1"/>
    <col min="6119" max="6120" width="12.796875" style="459" customWidth="1"/>
    <col min="6121" max="6121" width="11.33203125" style="459" customWidth="1"/>
    <col min="6122" max="6122" width="11.06640625" style="459" customWidth="1"/>
    <col min="6123" max="6369" width="8.265625" style="459"/>
    <col min="6370" max="6370" width="11.06640625" style="459" customWidth="1"/>
    <col min="6371" max="6371" width="8.265625" style="459"/>
    <col min="6372" max="6372" width="9.46484375" style="459" customWidth="1"/>
    <col min="6373" max="6373" width="8.265625" style="459"/>
    <col min="6374" max="6374" width="14.59765625" style="459" customWidth="1"/>
    <col min="6375" max="6376" width="12.796875" style="459" customWidth="1"/>
    <col min="6377" max="6377" width="11.33203125" style="459" customWidth="1"/>
    <col min="6378" max="6378" width="11.06640625" style="459" customWidth="1"/>
    <col min="6379" max="6625" width="8.265625" style="459"/>
    <col min="6626" max="6626" width="11.06640625" style="459" customWidth="1"/>
    <col min="6627" max="6627" width="8.265625" style="459"/>
    <col min="6628" max="6628" width="9.46484375" style="459" customWidth="1"/>
    <col min="6629" max="6629" width="8.265625" style="459"/>
    <col min="6630" max="6630" width="14.59765625" style="459" customWidth="1"/>
    <col min="6631" max="6632" width="12.796875" style="459" customWidth="1"/>
    <col min="6633" max="6633" width="11.33203125" style="459" customWidth="1"/>
    <col min="6634" max="6634" width="11.06640625" style="459" customWidth="1"/>
    <col min="6635" max="6881" width="8.265625" style="459"/>
    <col min="6882" max="6882" width="11.06640625" style="459" customWidth="1"/>
    <col min="6883" max="6883" width="8.265625" style="459"/>
    <col min="6884" max="6884" width="9.46484375" style="459" customWidth="1"/>
    <col min="6885" max="6885" width="8.265625" style="459"/>
    <col min="6886" max="6886" width="14.59765625" style="459" customWidth="1"/>
    <col min="6887" max="6888" width="12.796875" style="459" customWidth="1"/>
    <col min="6889" max="6889" width="11.33203125" style="459" customWidth="1"/>
    <col min="6890" max="6890" width="11.06640625" style="459" customWidth="1"/>
    <col min="6891" max="7137" width="8.265625" style="459"/>
    <col min="7138" max="7138" width="11.06640625" style="459" customWidth="1"/>
    <col min="7139" max="7139" width="8.265625" style="459"/>
    <col min="7140" max="7140" width="9.46484375" style="459" customWidth="1"/>
    <col min="7141" max="7141" width="8.265625" style="459"/>
    <col min="7142" max="7142" width="14.59765625" style="459" customWidth="1"/>
    <col min="7143" max="7144" width="12.796875" style="459" customWidth="1"/>
    <col min="7145" max="7145" width="11.33203125" style="459" customWidth="1"/>
    <col min="7146" max="7146" width="11.06640625" style="459" customWidth="1"/>
    <col min="7147" max="7393" width="8.265625" style="459"/>
    <col min="7394" max="7394" width="11.06640625" style="459" customWidth="1"/>
    <col min="7395" max="7395" width="8.265625" style="459"/>
    <col min="7396" max="7396" width="9.46484375" style="459" customWidth="1"/>
    <col min="7397" max="7397" width="8.265625" style="459"/>
    <col min="7398" max="7398" width="14.59765625" style="459" customWidth="1"/>
    <col min="7399" max="7400" width="12.796875" style="459" customWidth="1"/>
    <col min="7401" max="7401" width="11.33203125" style="459" customWidth="1"/>
    <col min="7402" max="7402" width="11.06640625" style="459" customWidth="1"/>
    <col min="7403" max="7649" width="8.265625" style="459"/>
    <col min="7650" max="7650" width="11.06640625" style="459" customWidth="1"/>
    <col min="7651" max="7651" width="8.265625" style="459"/>
    <col min="7652" max="7652" width="9.46484375" style="459" customWidth="1"/>
    <col min="7653" max="7653" width="8.265625" style="459"/>
    <col min="7654" max="7654" width="14.59765625" style="459" customWidth="1"/>
    <col min="7655" max="7656" width="12.796875" style="459" customWidth="1"/>
    <col min="7657" max="7657" width="11.33203125" style="459" customWidth="1"/>
    <col min="7658" max="7658" width="11.06640625" style="459" customWidth="1"/>
    <col min="7659" max="7905" width="8.265625" style="459"/>
    <col min="7906" max="7906" width="11.06640625" style="459" customWidth="1"/>
    <col min="7907" max="7907" width="8.265625" style="459"/>
    <col min="7908" max="7908" width="9.46484375" style="459" customWidth="1"/>
    <col min="7909" max="7909" width="8.265625" style="459"/>
    <col min="7910" max="7910" width="14.59765625" style="459" customWidth="1"/>
    <col min="7911" max="7912" width="12.796875" style="459" customWidth="1"/>
    <col min="7913" max="7913" width="11.33203125" style="459" customWidth="1"/>
    <col min="7914" max="7914" width="11.06640625" style="459" customWidth="1"/>
    <col min="7915" max="8161" width="8.265625" style="459"/>
    <col min="8162" max="8162" width="11.06640625" style="459" customWidth="1"/>
    <col min="8163" max="8163" width="8.265625" style="459"/>
    <col min="8164" max="8164" width="9.46484375" style="459" customWidth="1"/>
    <col min="8165" max="8165" width="8.265625" style="459"/>
    <col min="8166" max="8166" width="14.59765625" style="459" customWidth="1"/>
    <col min="8167" max="8168" width="12.796875" style="459" customWidth="1"/>
    <col min="8169" max="8169" width="11.33203125" style="459" customWidth="1"/>
    <col min="8170" max="8170" width="11.06640625" style="459" customWidth="1"/>
    <col min="8171" max="8417" width="8.265625" style="459"/>
    <col min="8418" max="8418" width="11.06640625" style="459" customWidth="1"/>
    <col min="8419" max="8419" width="8.265625" style="459"/>
    <col min="8420" max="8420" width="9.46484375" style="459" customWidth="1"/>
    <col min="8421" max="8421" width="8.265625" style="459"/>
    <col min="8422" max="8422" width="14.59765625" style="459" customWidth="1"/>
    <col min="8423" max="8424" width="12.796875" style="459" customWidth="1"/>
    <col min="8425" max="8425" width="11.33203125" style="459" customWidth="1"/>
    <col min="8426" max="8426" width="11.06640625" style="459" customWidth="1"/>
    <col min="8427" max="8673" width="8.265625" style="459"/>
    <col min="8674" max="8674" width="11.06640625" style="459" customWidth="1"/>
    <col min="8675" max="8675" width="8.265625" style="459"/>
    <col min="8676" max="8676" width="9.46484375" style="459" customWidth="1"/>
    <col min="8677" max="8677" width="8.265625" style="459"/>
    <col min="8678" max="8678" width="14.59765625" style="459" customWidth="1"/>
    <col min="8679" max="8680" width="12.796875" style="459" customWidth="1"/>
    <col min="8681" max="8681" width="11.33203125" style="459" customWidth="1"/>
    <col min="8682" max="8682" width="11.06640625" style="459" customWidth="1"/>
    <col min="8683" max="8929" width="8.265625" style="459"/>
    <col min="8930" max="8930" width="11.06640625" style="459" customWidth="1"/>
    <col min="8931" max="8931" width="8.265625" style="459"/>
    <col min="8932" max="8932" width="9.46484375" style="459" customWidth="1"/>
    <col min="8933" max="8933" width="8.265625" style="459"/>
    <col min="8934" max="8934" width="14.59765625" style="459" customWidth="1"/>
    <col min="8935" max="8936" width="12.796875" style="459" customWidth="1"/>
    <col min="8937" max="8937" width="11.33203125" style="459" customWidth="1"/>
    <col min="8938" max="8938" width="11.06640625" style="459" customWidth="1"/>
    <col min="8939" max="9185" width="8.265625" style="459"/>
    <col min="9186" max="9186" width="11.06640625" style="459" customWidth="1"/>
    <col min="9187" max="9187" width="8.265625" style="459"/>
    <col min="9188" max="9188" width="9.46484375" style="459" customWidth="1"/>
    <col min="9189" max="9189" width="8.265625" style="459"/>
    <col min="9190" max="9190" width="14.59765625" style="459" customWidth="1"/>
    <col min="9191" max="9192" width="12.796875" style="459" customWidth="1"/>
    <col min="9193" max="9193" width="11.33203125" style="459" customWidth="1"/>
    <col min="9194" max="9194" width="11.06640625" style="459" customWidth="1"/>
    <col min="9195" max="9441" width="8.265625" style="459"/>
    <col min="9442" max="9442" width="11.06640625" style="459" customWidth="1"/>
    <col min="9443" max="9443" width="8.265625" style="459"/>
    <col min="9444" max="9444" width="9.46484375" style="459" customWidth="1"/>
    <col min="9445" max="9445" width="8.265625" style="459"/>
    <col min="9446" max="9446" width="14.59765625" style="459" customWidth="1"/>
    <col min="9447" max="9448" width="12.796875" style="459" customWidth="1"/>
    <col min="9449" max="9449" width="11.33203125" style="459" customWidth="1"/>
    <col min="9450" max="9450" width="11.06640625" style="459" customWidth="1"/>
    <col min="9451" max="9697" width="8.265625" style="459"/>
    <col min="9698" max="9698" width="11.06640625" style="459" customWidth="1"/>
    <col min="9699" max="9699" width="8.265625" style="459"/>
    <col min="9700" max="9700" width="9.46484375" style="459" customWidth="1"/>
    <col min="9701" max="9701" width="8.265625" style="459"/>
    <col min="9702" max="9702" width="14.59765625" style="459" customWidth="1"/>
    <col min="9703" max="9704" width="12.796875" style="459" customWidth="1"/>
    <col min="9705" max="9705" width="11.33203125" style="459" customWidth="1"/>
    <col min="9706" max="9706" width="11.06640625" style="459" customWidth="1"/>
    <col min="9707" max="9953" width="8.265625" style="459"/>
    <col min="9954" max="9954" width="11.06640625" style="459" customWidth="1"/>
    <col min="9955" max="9955" width="8.265625" style="459"/>
    <col min="9956" max="9956" width="9.46484375" style="459" customWidth="1"/>
    <col min="9957" max="9957" width="8.265625" style="459"/>
    <col min="9958" max="9958" width="14.59765625" style="459" customWidth="1"/>
    <col min="9959" max="9960" width="12.796875" style="459" customWidth="1"/>
    <col min="9961" max="9961" width="11.33203125" style="459" customWidth="1"/>
    <col min="9962" max="9962" width="11.06640625" style="459" customWidth="1"/>
    <col min="9963" max="10209" width="8.265625" style="459"/>
    <col min="10210" max="10210" width="11.06640625" style="459" customWidth="1"/>
    <col min="10211" max="10211" width="8.265625" style="459"/>
    <col min="10212" max="10212" width="9.46484375" style="459" customWidth="1"/>
    <col min="10213" max="10213" width="8.265625" style="459"/>
    <col min="10214" max="10214" width="14.59765625" style="459" customWidth="1"/>
    <col min="10215" max="10216" width="12.796875" style="459" customWidth="1"/>
    <col min="10217" max="10217" width="11.33203125" style="459" customWidth="1"/>
    <col min="10218" max="10218" width="11.06640625" style="459" customWidth="1"/>
    <col min="10219" max="10465" width="8.265625" style="459"/>
    <col min="10466" max="10466" width="11.06640625" style="459" customWidth="1"/>
    <col min="10467" max="10467" width="8.265625" style="459"/>
    <col min="10468" max="10468" width="9.46484375" style="459" customWidth="1"/>
    <col min="10469" max="10469" width="8.265625" style="459"/>
    <col min="10470" max="10470" width="14.59765625" style="459" customWidth="1"/>
    <col min="10471" max="10472" width="12.796875" style="459" customWidth="1"/>
    <col min="10473" max="10473" width="11.33203125" style="459" customWidth="1"/>
    <col min="10474" max="10474" width="11.06640625" style="459" customWidth="1"/>
    <col min="10475" max="10721" width="8.265625" style="459"/>
    <col min="10722" max="10722" width="11.06640625" style="459" customWidth="1"/>
    <col min="10723" max="10723" width="8.265625" style="459"/>
    <col min="10724" max="10724" width="9.46484375" style="459" customWidth="1"/>
    <col min="10725" max="10725" width="8.265625" style="459"/>
    <col min="10726" max="10726" width="14.59765625" style="459" customWidth="1"/>
    <col min="10727" max="10728" width="12.796875" style="459" customWidth="1"/>
    <col min="10729" max="10729" width="11.33203125" style="459" customWidth="1"/>
    <col min="10730" max="10730" width="11.06640625" style="459" customWidth="1"/>
    <col min="10731" max="10977" width="8.265625" style="459"/>
    <col min="10978" max="10978" width="11.06640625" style="459" customWidth="1"/>
    <col min="10979" max="10979" width="8.265625" style="459"/>
    <col min="10980" max="10980" width="9.46484375" style="459" customWidth="1"/>
    <col min="10981" max="10981" width="8.265625" style="459"/>
    <col min="10982" max="10982" width="14.59765625" style="459" customWidth="1"/>
    <col min="10983" max="10984" width="12.796875" style="459" customWidth="1"/>
    <col min="10985" max="10985" width="11.33203125" style="459" customWidth="1"/>
    <col min="10986" max="10986" width="11.06640625" style="459" customWidth="1"/>
    <col min="10987" max="11233" width="8.265625" style="459"/>
    <col min="11234" max="11234" width="11.06640625" style="459" customWidth="1"/>
    <col min="11235" max="11235" width="8.265625" style="459"/>
    <col min="11236" max="11236" width="9.46484375" style="459" customWidth="1"/>
    <col min="11237" max="11237" width="8.265625" style="459"/>
    <col min="11238" max="11238" width="14.59765625" style="459" customWidth="1"/>
    <col min="11239" max="11240" width="12.796875" style="459" customWidth="1"/>
    <col min="11241" max="11241" width="11.33203125" style="459" customWidth="1"/>
    <col min="11242" max="11242" width="11.06640625" style="459" customWidth="1"/>
    <col min="11243" max="11489" width="8.265625" style="459"/>
    <col min="11490" max="11490" width="11.06640625" style="459" customWidth="1"/>
    <col min="11491" max="11491" width="8.265625" style="459"/>
    <col min="11492" max="11492" width="9.46484375" style="459" customWidth="1"/>
    <col min="11493" max="11493" width="8.265625" style="459"/>
    <col min="11494" max="11494" width="14.59765625" style="459" customWidth="1"/>
    <col min="11495" max="11496" width="12.796875" style="459" customWidth="1"/>
    <col min="11497" max="11497" width="11.33203125" style="459" customWidth="1"/>
    <col min="11498" max="11498" width="11.06640625" style="459" customWidth="1"/>
    <col min="11499" max="11745" width="8.265625" style="459"/>
    <col min="11746" max="11746" width="11.06640625" style="459" customWidth="1"/>
    <col min="11747" max="11747" width="8.265625" style="459"/>
    <col min="11748" max="11748" width="9.46484375" style="459" customWidth="1"/>
    <col min="11749" max="11749" width="8.265625" style="459"/>
    <col min="11750" max="11750" width="14.59765625" style="459" customWidth="1"/>
    <col min="11751" max="11752" width="12.796875" style="459" customWidth="1"/>
    <col min="11753" max="11753" width="11.33203125" style="459" customWidth="1"/>
    <col min="11754" max="11754" width="11.06640625" style="459" customWidth="1"/>
    <col min="11755" max="12001" width="8.265625" style="459"/>
    <col min="12002" max="12002" width="11.06640625" style="459" customWidth="1"/>
    <col min="12003" max="12003" width="8.265625" style="459"/>
    <col min="12004" max="12004" width="9.46484375" style="459" customWidth="1"/>
    <col min="12005" max="12005" width="8.265625" style="459"/>
    <col min="12006" max="12006" width="14.59765625" style="459" customWidth="1"/>
    <col min="12007" max="12008" width="12.796875" style="459" customWidth="1"/>
    <col min="12009" max="12009" width="11.33203125" style="459" customWidth="1"/>
    <col min="12010" max="12010" width="11.06640625" style="459" customWidth="1"/>
    <col min="12011" max="12257" width="8.265625" style="459"/>
    <col min="12258" max="12258" width="11.06640625" style="459" customWidth="1"/>
    <col min="12259" max="12259" width="8.265625" style="459"/>
    <col min="12260" max="12260" width="9.46484375" style="459" customWidth="1"/>
    <col min="12261" max="12261" width="8.265625" style="459"/>
    <col min="12262" max="12262" width="14.59765625" style="459" customWidth="1"/>
    <col min="12263" max="12264" width="12.796875" style="459" customWidth="1"/>
    <col min="12265" max="12265" width="11.33203125" style="459" customWidth="1"/>
    <col min="12266" max="12266" width="11.06640625" style="459" customWidth="1"/>
    <col min="12267" max="12513" width="8.265625" style="459"/>
    <col min="12514" max="12514" width="11.06640625" style="459" customWidth="1"/>
    <col min="12515" max="12515" width="8.265625" style="459"/>
    <col min="12516" max="12516" width="9.46484375" style="459" customWidth="1"/>
    <col min="12517" max="12517" width="8.265625" style="459"/>
    <col min="12518" max="12518" width="14.59765625" style="459" customWidth="1"/>
    <col min="12519" max="12520" width="12.796875" style="459" customWidth="1"/>
    <col min="12521" max="12521" width="11.33203125" style="459" customWidth="1"/>
    <col min="12522" max="12522" width="11.06640625" style="459" customWidth="1"/>
    <col min="12523" max="12769" width="8.265625" style="459"/>
    <col min="12770" max="12770" width="11.06640625" style="459" customWidth="1"/>
    <col min="12771" max="12771" width="8.265625" style="459"/>
    <col min="12772" max="12772" width="9.46484375" style="459" customWidth="1"/>
    <col min="12773" max="12773" width="8.265625" style="459"/>
    <col min="12774" max="12774" width="14.59765625" style="459" customWidth="1"/>
    <col min="12775" max="12776" width="12.796875" style="459" customWidth="1"/>
    <col min="12777" max="12777" width="11.33203125" style="459" customWidth="1"/>
    <col min="12778" max="12778" width="11.06640625" style="459" customWidth="1"/>
    <col min="12779" max="13025" width="8.265625" style="459"/>
    <col min="13026" max="13026" width="11.06640625" style="459" customWidth="1"/>
    <col min="13027" max="13027" width="8.265625" style="459"/>
    <col min="13028" max="13028" width="9.46484375" style="459" customWidth="1"/>
    <col min="13029" max="13029" width="8.265625" style="459"/>
    <col min="13030" max="13030" width="14.59765625" style="459" customWidth="1"/>
    <col min="13031" max="13032" width="12.796875" style="459" customWidth="1"/>
    <col min="13033" max="13033" width="11.33203125" style="459" customWidth="1"/>
    <col min="13034" max="13034" width="11.06640625" style="459" customWidth="1"/>
    <col min="13035" max="13281" width="8.265625" style="459"/>
    <col min="13282" max="13282" width="11.06640625" style="459" customWidth="1"/>
    <col min="13283" max="13283" width="8.265625" style="459"/>
    <col min="13284" max="13284" width="9.46484375" style="459" customWidth="1"/>
    <col min="13285" max="13285" width="8.265625" style="459"/>
    <col min="13286" max="13286" width="14.59765625" style="459" customWidth="1"/>
    <col min="13287" max="13288" width="12.796875" style="459" customWidth="1"/>
    <col min="13289" max="13289" width="11.33203125" style="459" customWidth="1"/>
    <col min="13290" max="13290" width="11.06640625" style="459" customWidth="1"/>
    <col min="13291" max="13537" width="8.265625" style="459"/>
    <col min="13538" max="13538" width="11.06640625" style="459" customWidth="1"/>
    <col min="13539" max="13539" width="8.265625" style="459"/>
    <col min="13540" max="13540" width="9.46484375" style="459" customWidth="1"/>
    <col min="13541" max="13541" width="8.265625" style="459"/>
    <col min="13542" max="13542" width="14.59765625" style="459" customWidth="1"/>
    <col min="13543" max="13544" width="12.796875" style="459" customWidth="1"/>
    <col min="13545" max="13545" width="11.33203125" style="459" customWidth="1"/>
    <col min="13546" max="13546" width="11.06640625" style="459" customWidth="1"/>
    <col min="13547" max="13793" width="8.265625" style="459"/>
    <col min="13794" max="13794" width="11.06640625" style="459" customWidth="1"/>
    <col min="13795" max="13795" width="8.265625" style="459"/>
    <col min="13796" max="13796" width="9.46484375" style="459" customWidth="1"/>
    <col min="13797" max="13797" width="8.265625" style="459"/>
    <col min="13798" max="13798" width="14.59765625" style="459" customWidth="1"/>
    <col min="13799" max="13800" width="12.796875" style="459" customWidth="1"/>
    <col min="13801" max="13801" width="11.33203125" style="459" customWidth="1"/>
    <col min="13802" max="13802" width="11.06640625" style="459" customWidth="1"/>
    <col min="13803" max="14049" width="8.265625" style="459"/>
    <col min="14050" max="14050" width="11.06640625" style="459" customWidth="1"/>
    <col min="14051" max="14051" width="8.265625" style="459"/>
    <col min="14052" max="14052" width="9.46484375" style="459" customWidth="1"/>
    <col min="14053" max="14053" width="8.265625" style="459"/>
    <col min="14054" max="14054" width="14.59765625" style="459" customWidth="1"/>
    <col min="14055" max="14056" width="12.796875" style="459" customWidth="1"/>
    <col min="14057" max="14057" width="11.33203125" style="459" customWidth="1"/>
    <col min="14058" max="14058" width="11.06640625" style="459" customWidth="1"/>
    <col min="14059" max="14305" width="8.265625" style="459"/>
    <col min="14306" max="14306" width="11.06640625" style="459" customWidth="1"/>
    <col min="14307" max="14307" width="8.265625" style="459"/>
    <col min="14308" max="14308" width="9.46484375" style="459" customWidth="1"/>
    <col min="14309" max="14309" width="8.265625" style="459"/>
    <col min="14310" max="14310" width="14.59765625" style="459" customWidth="1"/>
    <col min="14311" max="14312" width="12.796875" style="459" customWidth="1"/>
    <col min="14313" max="14313" width="11.33203125" style="459" customWidth="1"/>
    <col min="14314" max="14314" width="11.06640625" style="459" customWidth="1"/>
    <col min="14315" max="14561" width="8.265625" style="459"/>
    <col min="14562" max="14562" width="11.06640625" style="459" customWidth="1"/>
    <col min="14563" max="14563" width="8.265625" style="459"/>
    <col min="14564" max="14564" width="9.46484375" style="459" customWidth="1"/>
    <col min="14565" max="14565" width="8.265625" style="459"/>
    <col min="14566" max="14566" width="14.59765625" style="459" customWidth="1"/>
    <col min="14567" max="14568" width="12.796875" style="459" customWidth="1"/>
    <col min="14569" max="14569" width="11.33203125" style="459" customWidth="1"/>
    <col min="14570" max="14570" width="11.06640625" style="459" customWidth="1"/>
    <col min="14571" max="14817" width="8.265625" style="459"/>
    <col min="14818" max="14818" width="11.06640625" style="459" customWidth="1"/>
    <col min="14819" max="14819" width="8.265625" style="459"/>
    <col min="14820" max="14820" width="9.46484375" style="459" customWidth="1"/>
    <col min="14821" max="14821" width="8.265625" style="459"/>
    <col min="14822" max="14822" width="14.59765625" style="459" customWidth="1"/>
    <col min="14823" max="14824" width="12.796875" style="459" customWidth="1"/>
    <col min="14825" max="14825" width="11.33203125" style="459" customWidth="1"/>
    <col min="14826" max="14826" width="11.06640625" style="459" customWidth="1"/>
    <col min="14827" max="15073" width="8.265625" style="459"/>
    <col min="15074" max="15074" width="11.06640625" style="459" customWidth="1"/>
    <col min="15075" max="15075" width="8.265625" style="459"/>
    <col min="15076" max="15076" width="9.46484375" style="459" customWidth="1"/>
    <col min="15077" max="15077" width="8.265625" style="459"/>
    <col min="15078" max="15078" width="14.59765625" style="459" customWidth="1"/>
    <col min="15079" max="15080" width="12.796875" style="459" customWidth="1"/>
    <col min="15081" max="15081" width="11.33203125" style="459" customWidth="1"/>
    <col min="15082" max="15082" width="11.06640625" style="459" customWidth="1"/>
    <col min="15083" max="15329" width="8.265625" style="459"/>
    <col min="15330" max="15330" width="11.06640625" style="459" customWidth="1"/>
    <col min="15331" max="15331" width="8.265625" style="459"/>
    <col min="15332" max="15332" width="9.46484375" style="459" customWidth="1"/>
    <col min="15333" max="15333" width="8.265625" style="459"/>
    <col min="15334" max="15334" width="14.59765625" style="459" customWidth="1"/>
    <col min="15335" max="15336" width="12.796875" style="459" customWidth="1"/>
    <col min="15337" max="15337" width="11.33203125" style="459" customWidth="1"/>
    <col min="15338" max="15338" width="11.06640625" style="459" customWidth="1"/>
    <col min="15339" max="15585" width="8.265625" style="459"/>
    <col min="15586" max="15586" width="11.06640625" style="459" customWidth="1"/>
    <col min="15587" max="15587" width="8.265625" style="459"/>
    <col min="15588" max="15588" width="9.46484375" style="459" customWidth="1"/>
    <col min="15589" max="15589" width="8.265625" style="459"/>
    <col min="15590" max="15590" width="14.59765625" style="459" customWidth="1"/>
    <col min="15591" max="15592" width="12.796875" style="459" customWidth="1"/>
    <col min="15593" max="15593" width="11.33203125" style="459" customWidth="1"/>
    <col min="15594" max="15594" width="11.06640625" style="459" customWidth="1"/>
    <col min="15595" max="15841" width="8.265625" style="459"/>
    <col min="15842" max="15842" width="11.06640625" style="459" customWidth="1"/>
    <col min="15843" max="15843" width="8.265625" style="459"/>
    <col min="15844" max="15844" width="9.46484375" style="459" customWidth="1"/>
    <col min="15845" max="15845" width="8.265625" style="459"/>
    <col min="15846" max="15846" width="14.59765625" style="459" customWidth="1"/>
    <col min="15847" max="15848" width="12.796875" style="459" customWidth="1"/>
    <col min="15849" max="15849" width="11.33203125" style="459" customWidth="1"/>
    <col min="15850" max="15850" width="11.06640625" style="459" customWidth="1"/>
    <col min="15851" max="16097" width="8.265625" style="459"/>
    <col min="16098" max="16098" width="11.06640625" style="459" customWidth="1"/>
    <col min="16099" max="16099" width="8.265625" style="459"/>
    <col min="16100" max="16100" width="9.46484375" style="459" customWidth="1"/>
    <col min="16101" max="16101" width="8.265625" style="459"/>
    <col min="16102" max="16102" width="14.59765625" style="459" customWidth="1"/>
    <col min="16103" max="16104" width="12.796875" style="459" customWidth="1"/>
    <col min="16105" max="16105" width="11.33203125" style="459" customWidth="1"/>
    <col min="16106" max="16106" width="11.06640625" style="459" customWidth="1"/>
    <col min="16107" max="16384" width="8.265625" style="459"/>
  </cols>
  <sheetData>
    <row r="1" spans="1:26" s="74" customFormat="1" ht="72" customHeight="1">
      <c r="A1" s="460"/>
      <c r="B1" s="460"/>
      <c r="C1" s="460"/>
      <c r="D1" s="460"/>
      <c r="E1" s="460"/>
      <c r="F1" s="460"/>
      <c r="G1" s="460"/>
      <c r="H1" s="460"/>
      <c r="I1" s="460"/>
      <c r="J1" s="493"/>
      <c r="M1" s="68" t="str">
        <f>HYPERLINK("#基本信息!I1","返回基本信息")</f>
        <v>返回基本信息</v>
      </c>
      <c r="N1" s="161"/>
      <c r="O1" s="161"/>
      <c r="P1" s="161"/>
      <c r="Q1" s="467" t="s">
        <v>188</v>
      </c>
      <c r="R1" s="161"/>
      <c r="S1" s="161"/>
      <c r="T1" s="161"/>
      <c r="U1" s="161"/>
      <c r="V1" s="161"/>
      <c r="W1" s="161"/>
      <c r="X1" s="161"/>
      <c r="Y1" s="161"/>
      <c r="Z1" s="161"/>
    </row>
    <row r="2" spans="1:26" s="74" customFormat="1">
      <c r="A2" s="716" t="s">
        <v>233</v>
      </c>
      <c r="B2" s="716"/>
      <c r="C2" s="716"/>
      <c r="D2" s="716"/>
      <c r="E2" s="716"/>
      <c r="F2" s="716"/>
      <c r="G2" s="716"/>
      <c r="H2" s="716"/>
      <c r="I2" s="716"/>
      <c r="J2" s="716"/>
      <c r="M2" s="68" t="str">
        <f>HYPERLINK("#操作平台!A3","返回操作平台")</f>
        <v>返回操作平台</v>
      </c>
      <c r="N2" s="161"/>
      <c r="O2" s="161"/>
      <c r="P2" s="161"/>
      <c r="Q2" s="161" t="s">
        <v>51</v>
      </c>
      <c r="R2" s="437" t="s">
        <v>52</v>
      </c>
      <c r="S2" s="161"/>
      <c r="T2" s="161"/>
      <c r="U2" s="161"/>
      <c r="V2" s="161"/>
      <c r="W2" s="161"/>
      <c r="X2" s="161"/>
      <c r="Y2" s="161"/>
      <c r="Z2" s="161"/>
    </row>
    <row r="3" spans="1:26" s="74" customFormat="1" ht="15.4">
      <c r="A3" s="461"/>
      <c r="B3" s="461"/>
      <c r="C3" s="461"/>
      <c r="D3" s="461"/>
      <c r="E3" s="461"/>
      <c r="F3" s="462"/>
      <c r="G3" s="463" t="s">
        <v>234</v>
      </c>
      <c r="H3" s="717" t="e">
        <f>INDEX(基本信息!E:E,MATCH(H4,基本信息!D:D,0))</f>
        <v>#N/A</v>
      </c>
      <c r="I3" s="717"/>
      <c r="J3" s="717"/>
      <c r="M3" s="109"/>
      <c r="N3" s="161"/>
      <c r="O3" s="161"/>
      <c r="P3" s="161"/>
      <c r="Q3" s="161" t="s">
        <v>53</v>
      </c>
      <c r="R3" s="437" t="s">
        <v>54</v>
      </c>
      <c r="S3" s="161"/>
      <c r="T3" s="161"/>
      <c r="U3" s="161"/>
      <c r="V3" s="161"/>
      <c r="W3" s="161"/>
      <c r="X3" s="161"/>
      <c r="Y3" s="161"/>
      <c r="Z3" s="161"/>
    </row>
    <row r="4" spans="1:26" s="74" customFormat="1" ht="15.4">
      <c r="A4" s="464" t="e">
        <f>"致："&amp;INDEX(基本信息!C:C,MATCH(H4,基本信息!D:D,0))</f>
        <v>#N/A</v>
      </c>
      <c r="B4" s="465"/>
      <c r="C4" s="465"/>
      <c r="D4" s="465"/>
      <c r="E4" s="465"/>
      <c r="F4" s="465"/>
      <c r="G4" s="463" t="s">
        <v>235</v>
      </c>
      <c r="H4" s="466" t="s">
        <v>190</v>
      </c>
      <c r="I4" s="494"/>
      <c r="J4" s="495"/>
      <c r="M4" s="496" t="str">
        <f>HYPERLINK("#使用说明!B2","返回模板池")</f>
        <v>返回模板池</v>
      </c>
      <c r="N4" s="161"/>
      <c r="O4" s="161"/>
      <c r="P4" s="161"/>
      <c r="Q4" s="161" t="s">
        <v>55</v>
      </c>
      <c r="R4" s="437" t="s">
        <v>56</v>
      </c>
      <c r="S4" s="161"/>
      <c r="T4" s="161"/>
      <c r="U4" s="161"/>
      <c r="V4" s="161"/>
      <c r="W4" s="161"/>
      <c r="X4" s="161"/>
      <c r="Y4" s="161"/>
      <c r="Z4" s="161"/>
    </row>
    <row r="5" spans="1:26" s="74" customFormat="1" ht="20.25" customHeight="1">
      <c r="A5" s="640" t="s">
        <v>236</v>
      </c>
      <c r="B5" s="640"/>
      <c r="C5" s="640"/>
      <c r="D5" s="640"/>
      <c r="E5" s="640"/>
      <c r="F5" s="640"/>
      <c r="G5" s="640"/>
      <c r="H5" s="640"/>
      <c r="I5" s="640"/>
      <c r="J5" s="640"/>
      <c r="N5" s="161"/>
      <c r="O5" s="161"/>
      <c r="P5" s="161"/>
      <c r="Q5" s="161" t="s">
        <v>57</v>
      </c>
      <c r="R5" s="437" t="s">
        <v>58</v>
      </c>
      <c r="S5" s="161"/>
      <c r="T5" s="161"/>
      <c r="U5" s="161"/>
      <c r="V5" s="161"/>
      <c r="W5" s="161"/>
      <c r="X5" s="161"/>
      <c r="Y5" s="161"/>
      <c r="Z5" s="161"/>
    </row>
    <row r="6" spans="1:26" s="74" customFormat="1" ht="20.25" customHeight="1">
      <c r="A6" s="640"/>
      <c r="B6" s="640"/>
      <c r="C6" s="640"/>
      <c r="D6" s="640"/>
      <c r="E6" s="640"/>
      <c r="F6" s="640"/>
      <c r="G6" s="640"/>
      <c r="H6" s="640"/>
      <c r="I6" s="640"/>
      <c r="J6" s="640"/>
      <c r="N6" s="161"/>
      <c r="O6" s="161"/>
      <c r="P6" s="161"/>
      <c r="Q6" s="161" t="s">
        <v>59</v>
      </c>
      <c r="R6" s="511" t="s">
        <v>5</v>
      </c>
      <c r="S6" s="161"/>
      <c r="T6" s="161"/>
      <c r="U6" s="161"/>
      <c r="V6" s="161"/>
      <c r="W6" s="161"/>
      <c r="X6" s="161"/>
      <c r="Y6" s="161"/>
      <c r="Z6" s="161"/>
    </row>
    <row r="7" spans="1:26" s="74" customFormat="1" ht="20.25" customHeight="1">
      <c r="A7" s="640"/>
      <c r="B7" s="640"/>
      <c r="C7" s="640"/>
      <c r="D7" s="640"/>
      <c r="E7" s="640"/>
      <c r="F7" s="640"/>
      <c r="G7" s="640"/>
      <c r="H7" s="640"/>
      <c r="I7" s="640"/>
      <c r="J7" s="640"/>
      <c r="N7" s="161"/>
      <c r="O7" s="161"/>
      <c r="P7" s="161"/>
      <c r="Q7" s="161" t="s">
        <v>60</v>
      </c>
      <c r="R7" s="437" t="s">
        <v>61</v>
      </c>
      <c r="S7" s="161"/>
      <c r="T7" s="161"/>
      <c r="U7" s="161"/>
      <c r="V7" s="161"/>
      <c r="W7" s="161"/>
      <c r="X7" s="161"/>
      <c r="Y7" s="161"/>
      <c r="Z7" s="161"/>
    </row>
    <row r="8" spans="1:26" s="74" customFormat="1" ht="20.25" customHeight="1">
      <c r="A8" s="640"/>
      <c r="B8" s="640"/>
      <c r="C8" s="640"/>
      <c r="D8" s="640"/>
      <c r="E8" s="640"/>
      <c r="F8" s="640"/>
      <c r="G8" s="640"/>
      <c r="H8" s="640"/>
      <c r="I8" s="640"/>
      <c r="J8" s="640"/>
      <c r="N8" s="161"/>
      <c r="O8" s="161"/>
      <c r="P8" s="161"/>
      <c r="Q8" s="161" t="s">
        <v>62</v>
      </c>
      <c r="R8" s="437">
        <v>80</v>
      </c>
      <c r="S8" s="161"/>
      <c r="T8" s="161"/>
      <c r="U8" s="161"/>
      <c r="V8" s="161"/>
      <c r="W8" s="161"/>
      <c r="X8" s="161"/>
      <c r="Y8" s="161"/>
      <c r="Z8" s="161"/>
    </row>
    <row r="9" spans="1:26" s="74" customFormat="1" ht="20.25" customHeight="1">
      <c r="A9" s="640"/>
      <c r="B9" s="640"/>
      <c r="C9" s="640"/>
      <c r="D9" s="640"/>
      <c r="E9" s="640"/>
      <c r="F9" s="640"/>
      <c r="G9" s="640"/>
      <c r="H9" s="640"/>
      <c r="I9" s="640"/>
      <c r="J9" s="640"/>
      <c r="N9" s="467" t="s">
        <v>237</v>
      </c>
      <c r="O9" s="161"/>
      <c r="P9" s="161"/>
      <c r="Q9" s="161"/>
      <c r="R9" s="161"/>
      <c r="S9" s="161"/>
      <c r="T9" s="161"/>
      <c r="U9" s="161"/>
      <c r="V9" s="161"/>
      <c r="W9" s="161"/>
      <c r="X9" s="161"/>
      <c r="Y9" s="161"/>
      <c r="Z9" s="161"/>
    </row>
    <row r="10" spans="1:26" s="74" customFormat="1" ht="20.25" customHeight="1">
      <c r="A10" s="467" t="s">
        <v>238</v>
      </c>
      <c r="B10" s="462"/>
      <c r="C10" s="462"/>
      <c r="D10" s="462"/>
      <c r="E10" s="462"/>
      <c r="F10" s="462"/>
      <c r="G10" s="468"/>
      <c r="H10" s="462"/>
      <c r="I10" s="462"/>
      <c r="J10" s="462"/>
      <c r="N10" s="467" t="s">
        <v>239</v>
      </c>
      <c r="O10" s="467" t="s">
        <v>240</v>
      </c>
      <c r="P10" s="467" t="s">
        <v>67</v>
      </c>
      <c r="Q10" s="718" t="s">
        <v>65</v>
      </c>
      <c r="R10" s="719"/>
      <c r="S10" s="719"/>
      <c r="T10" s="719"/>
      <c r="U10" s="719"/>
      <c r="V10" s="719"/>
      <c r="W10" s="719"/>
      <c r="X10" s="719"/>
      <c r="Y10" s="719"/>
      <c r="Z10" s="720"/>
    </row>
    <row r="11" spans="1:26" s="74" customFormat="1" ht="20.25" customHeight="1">
      <c r="A11" s="467" t="s">
        <v>241</v>
      </c>
      <c r="B11" s="462"/>
      <c r="C11" s="462"/>
      <c r="D11" s="462"/>
      <c r="E11" s="462"/>
      <c r="F11" s="462"/>
      <c r="G11" s="462"/>
      <c r="H11" s="462"/>
      <c r="I11" s="462"/>
      <c r="J11" s="462"/>
      <c r="N11" s="467" t="s">
        <v>69</v>
      </c>
      <c r="O11" s="429">
        <v>18</v>
      </c>
      <c r="P11" s="497" t="s">
        <v>67</v>
      </c>
      <c r="Q11" s="512" t="s">
        <v>70</v>
      </c>
      <c r="R11" s="615" t="s">
        <v>71</v>
      </c>
      <c r="S11" s="615"/>
      <c r="T11" s="54" t="s">
        <v>72</v>
      </c>
      <c r="U11" s="54" t="s">
        <v>73</v>
      </c>
      <c r="V11" s="54" t="s">
        <v>74</v>
      </c>
      <c r="W11" s="54" t="s">
        <v>75</v>
      </c>
      <c r="X11" s="54" t="s">
        <v>76</v>
      </c>
      <c r="Y11" s="515" t="s">
        <v>77</v>
      </c>
      <c r="Z11" s="516" t="s">
        <v>78</v>
      </c>
    </row>
    <row r="12" spans="1:26" s="74" customFormat="1" ht="20.25" customHeight="1">
      <c r="A12" s="467" t="s">
        <v>242</v>
      </c>
      <c r="B12" s="467" t="s">
        <v>49</v>
      </c>
      <c r="C12" s="462"/>
      <c r="D12" s="721" t="s">
        <v>243</v>
      </c>
      <c r="E12" s="721"/>
      <c r="F12" s="722">
        <v>13316517160</v>
      </c>
      <c r="G12" s="722"/>
      <c r="H12" s="462"/>
      <c r="I12" s="498" t="s">
        <v>244</v>
      </c>
      <c r="J12" s="499">
        <v>510700</v>
      </c>
      <c r="N12" s="467" t="s">
        <v>79</v>
      </c>
      <c r="O12" s="429">
        <v>25</v>
      </c>
      <c r="P12" s="497" t="s">
        <v>67</v>
      </c>
      <c r="Q12" s="512" t="s">
        <v>80</v>
      </c>
      <c r="R12" s="54" t="s">
        <v>71</v>
      </c>
      <c r="S12" s="54" t="s">
        <v>72</v>
      </c>
      <c r="T12" s="615" t="s">
        <v>75</v>
      </c>
      <c r="U12" s="615"/>
      <c r="V12" s="54" t="s">
        <v>81</v>
      </c>
      <c r="W12" s="54" t="s">
        <v>82</v>
      </c>
      <c r="X12" s="54" t="s">
        <v>73</v>
      </c>
      <c r="Y12" s="54" t="s">
        <v>83</v>
      </c>
      <c r="Z12" s="516" t="s">
        <v>78</v>
      </c>
    </row>
    <row r="13" spans="1:26" s="74" customFormat="1" ht="20.25" customHeight="1">
      <c r="A13" s="641" t="e">
        <f>"本公司谨授权贵行从本公司账户（"&amp;INDEX(基本信息!G:G,MATCH(H4,基本信息!D:D,0))&amp;"）支取办理本询证函服务的费用。"</f>
        <v>#N/A</v>
      </c>
      <c r="B13" s="641"/>
      <c r="C13" s="641"/>
      <c r="D13" s="641"/>
      <c r="E13" s="641"/>
      <c r="F13" s="641"/>
      <c r="G13" s="641"/>
      <c r="H13" s="641"/>
      <c r="I13" s="641"/>
      <c r="J13" s="641"/>
      <c r="N13" s="467" t="s">
        <v>84</v>
      </c>
      <c r="O13" s="429">
        <v>30</v>
      </c>
      <c r="P13" s="497" t="s">
        <v>67</v>
      </c>
      <c r="Q13" s="620" t="s">
        <v>70</v>
      </c>
      <c r="R13" s="621"/>
      <c r="S13" s="621"/>
      <c r="T13" s="621"/>
      <c r="U13" s="624" t="s">
        <v>71</v>
      </c>
      <c r="V13" s="624"/>
      <c r="W13" s="624"/>
      <c r="X13" s="419" t="s">
        <v>72</v>
      </c>
      <c r="Y13" s="624" t="s">
        <v>85</v>
      </c>
      <c r="Z13" s="625"/>
    </row>
    <row r="14" spans="1:26" s="74" customFormat="1" ht="20.25" customHeight="1">
      <c r="A14" s="641"/>
      <c r="B14" s="641"/>
      <c r="C14" s="641"/>
      <c r="D14" s="641"/>
      <c r="E14" s="641"/>
      <c r="F14" s="641"/>
      <c r="G14" s="641"/>
      <c r="H14" s="641"/>
      <c r="I14" s="641"/>
      <c r="J14" s="641"/>
      <c r="N14" s="467" t="s">
        <v>86</v>
      </c>
      <c r="O14" s="429">
        <v>36</v>
      </c>
      <c r="P14" s="497" t="s">
        <v>67</v>
      </c>
      <c r="Q14" s="620" t="s">
        <v>70</v>
      </c>
      <c r="R14" s="621"/>
      <c r="S14" s="621" t="s">
        <v>71</v>
      </c>
      <c r="T14" s="621"/>
      <c r="U14" s="432" t="s">
        <v>87</v>
      </c>
      <c r="V14" s="432" t="s">
        <v>72</v>
      </c>
      <c r="W14" s="432" t="s">
        <v>73</v>
      </c>
      <c r="X14" s="432" t="s">
        <v>75</v>
      </c>
      <c r="Y14" s="432" t="s">
        <v>88</v>
      </c>
      <c r="Z14" s="517" t="s">
        <v>78</v>
      </c>
    </row>
    <row r="15" spans="1:26" s="74" customFormat="1" ht="20.25" customHeight="1">
      <c r="A15" s="467" t="s">
        <v>245</v>
      </c>
      <c r="B15" s="462"/>
      <c r="C15" s="462"/>
      <c r="D15" s="469"/>
      <c r="E15" s="469"/>
      <c r="F15" s="469"/>
      <c r="G15" s="469"/>
      <c r="H15" s="462"/>
      <c r="I15" s="462"/>
      <c r="J15" s="462"/>
      <c r="N15" s="467" t="s">
        <v>89</v>
      </c>
      <c r="O15" s="429">
        <v>43</v>
      </c>
      <c r="P15" s="497" t="s">
        <v>67</v>
      </c>
      <c r="Q15" s="614" t="s">
        <v>70</v>
      </c>
      <c r="R15" s="615"/>
      <c r="S15" s="615" t="s">
        <v>71</v>
      </c>
      <c r="T15" s="615"/>
      <c r="U15" s="54" t="s">
        <v>90</v>
      </c>
      <c r="V15" s="54" t="s">
        <v>72</v>
      </c>
      <c r="W15" s="54" t="s">
        <v>73</v>
      </c>
      <c r="X15" s="54" t="s">
        <v>75</v>
      </c>
      <c r="Y15" s="432" t="s">
        <v>88</v>
      </c>
      <c r="Z15" s="516" t="s">
        <v>78</v>
      </c>
    </row>
    <row r="16" spans="1:26" s="74" customFormat="1" ht="15.4">
      <c r="A16" s="470" t="s">
        <v>246</v>
      </c>
      <c r="B16" s="462"/>
      <c r="C16" s="462"/>
      <c r="D16" s="462"/>
      <c r="E16" s="462"/>
      <c r="F16" s="462"/>
      <c r="G16" s="462"/>
      <c r="H16" s="462"/>
      <c r="I16" s="462"/>
      <c r="J16" s="462"/>
      <c r="N16" s="467" t="s">
        <v>91</v>
      </c>
      <c r="O16" s="429">
        <v>51</v>
      </c>
      <c r="P16" s="497" t="s">
        <v>67</v>
      </c>
      <c r="Q16" s="512" t="s">
        <v>92</v>
      </c>
      <c r="R16" s="615" t="s">
        <v>93</v>
      </c>
      <c r="S16" s="615"/>
      <c r="T16" s="615" t="s">
        <v>94</v>
      </c>
      <c r="U16" s="615"/>
      <c r="V16" s="54" t="s">
        <v>95</v>
      </c>
      <c r="W16" s="615" t="s">
        <v>96</v>
      </c>
      <c r="X16" s="615"/>
      <c r="Y16" s="615" t="s">
        <v>78</v>
      </c>
      <c r="Z16" s="616"/>
    </row>
    <row r="17" spans="1:29" s="108" customFormat="1" ht="48.5" customHeight="1">
      <c r="A17" s="471" t="s">
        <v>70</v>
      </c>
      <c r="B17" s="657" t="s">
        <v>71</v>
      </c>
      <c r="C17" s="656"/>
      <c r="D17" s="472" t="s">
        <v>72</v>
      </c>
      <c r="E17" s="472" t="s">
        <v>73</v>
      </c>
      <c r="F17" s="472" t="s">
        <v>74</v>
      </c>
      <c r="G17" s="472" t="s">
        <v>75</v>
      </c>
      <c r="H17" s="473" t="s">
        <v>76</v>
      </c>
      <c r="I17" s="500" t="s">
        <v>77</v>
      </c>
      <c r="J17" s="501" t="s">
        <v>78</v>
      </c>
      <c r="M17" s="74"/>
      <c r="N17" s="467" t="s">
        <v>97</v>
      </c>
      <c r="O17" s="410">
        <v>58</v>
      </c>
      <c r="P17" s="497" t="s">
        <v>67</v>
      </c>
      <c r="Q17" s="492" t="s">
        <v>92</v>
      </c>
      <c r="R17" s="618" t="s">
        <v>93</v>
      </c>
      <c r="S17" s="618"/>
      <c r="T17" s="618" t="s">
        <v>98</v>
      </c>
      <c r="U17" s="618"/>
      <c r="V17" s="54" t="s">
        <v>95</v>
      </c>
      <c r="W17" s="618" t="s">
        <v>96</v>
      </c>
      <c r="X17" s="618"/>
      <c r="Y17" s="618" t="s">
        <v>78</v>
      </c>
      <c r="Z17" s="619"/>
    </row>
    <row r="18" spans="1:29" s="108" customFormat="1" ht="48.5" customHeight="1">
      <c r="A18" s="474" t="s">
        <v>247</v>
      </c>
      <c r="B18" s="682" t="s">
        <v>247</v>
      </c>
      <c r="C18" s="660"/>
      <c r="D18" s="475" t="s">
        <v>247</v>
      </c>
      <c r="E18" s="475" t="s">
        <v>247</v>
      </c>
      <c r="F18" s="475" t="s">
        <v>247</v>
      </c>
      <c r="G18" s="475" t="s">
        <v>247</v>
      </c>
      <c r="H18" s="475" t="s">
        <v>247</v>
      </c>
      <c r="I18" s="475" t="s">
        <v>247</v>
      </c>
      <c r="J18" s="502" t="s">
        <v>247</v>
      </c>
      <c r="M18" s="74"/>
      <c r="N18" s="108" t="s">
        <v>99</v>
      </c>
      <c r="O18" s="410">
        <v>64</v>
      </c>
      <c r="P18" s="497" t="s">
        <v>67</v>
      </c>
      <c r="Q18" s="512" t="s">
        <v>100</v>
      </c>
      <c r="R18" s="618" t="s">
        <v>101</v>
      </c>
      <c r="S18" s="618"/>
      <c r="T18" s="618" t="s">
        <v>102</v>
      </c>
      <c r="U18" s="618"/>
      <c r="V18" s="475" t="s">
        <v>103</v>
      </c>
      <c r="W18" s="618" t="s">
        <v>104</v>
      </c>
      <c r="X18" s="618"/>
      <c r="Y18" s="618" t="s">
        <v>105</v>
      </c>
      <c r="Z18" s="619"/>
    </row>
    <row r="19" spans="1:29" s="108" customFormat="1" ht="31.05" customHeight="1">
      <c r="A19" s="476"/>
      <c r="B19" s="667"/>
      <c r="C19" s="715"/>
      <c r="D19" s="477"/>
      <c r="E19" s="478"/>
      <c r="F19" s="479"/>
      <c r="G19" s="480"/>
      <c r="H19" s="481"/>
      <c r="I19" s="478"/>
      <c r="J19" s="503"/>
      <c r="M19" s="74"/>
      <c r="N19" s="108" t="s">
        <v>106</v>
      </c>
      <c r="O19" s="410">
        <v>70</v>
      </c>
      <c r="P19" s="497" t="s">
        <v>67</v>
      </c>
      <c r="Q19" s="512" t="s">
        <v>107</v>
      </c>
      <c r="R19" s="54" t="s">
        <v>108</v>
      </c>
      <c r="S19" s="615" t="s">
        <v>109</v>
      </c>
      <c r="T19" s="615"/>
      <c r="U19" s="54" t="s">
        <v>103</v>
      </c>
      <c r="V19" s="54" t="s">
        <v>104</v>
      </c>
      <c r="W19" s="54" t="s">
        <v>105</v>
      </c>
      <c r="X19" s="54" t="s">
        <v>110</v>
      </c>
      <c r="Y19" s="54" t="s">
        <v>111</v>
      </c>
      <c r="Z19" s="516" t="s">
        <v>112</v>
      </c>
    </row>
    <row r="20" spans="1:29" s="108" customFormat="1" ht="33.5" customHeight="1">
      <c r="A20" s="177" t="s">
        <v>248</v>
      </c>
      <c r="B20" s="482"/>
      <c r="C20" s="482"/>
      <c r="D20" s="483"/>
      <c r="E20" s="483"/>
      <c r="F20" s="483"/>
      <c r="G20" s="483"/>
      <c r="H20" s="483"/>
      <c r="I20" s="483"/>
      <c r="J20" s="483"/>
      <c r="M20" s="74"/>
      <c r="N20" s="108" t="s">
        <v>113</v>
      </c>
      <c r="O20" s="410">
        <v>75</v>
      </c>
      <c r="P20" s="497" t="s">
        <v>67</v>
      </c>
      <c r="Q20" s="617" t="s">
        <v>107</v>
      </c>
      <c r="R20" s="618"/>
      <c r="S20" s="618" t="s">
        <v>109</v>
      </c>
      <c r="T20" s="618"/>
      <c r="U20" s="618" t="s">
        <v>103</v>
      </c>
      <c r="V20" s="618"/>
      <c r="W20" s="618" t="s">
        <v>104</v>
      </c>
      <c r="X20" s="618"/>
      <c r="Y20" s="618" t="s">
        <v>105</v>
      </c>
      <c r="Z20" s="619"/>
    </row>
    <row r="21" spans="1:29" s="108" customFormat="1" ht="33.5" customHeight="1">
      <c r="A21" s="714" t="s">
        <v>249</v>
      </c>
      <c r="B21" s="714"/>
      <c r="C21" s="714"/>
      <c r="D21" s="714"/>
      <c r="E21" s="714"/>
      <c r="F21" s="714"/>
      <c r="G21" s="714"/>
      <c r="H21" s="714"/>
      <c r="I21" s="714"/>
      <c r="J21" s="714"/>
      <c r="M21" s="74"/>
      <c r="N21" s="108" t="s">
        <v>114</v>
      </c>
      <c r="O21" s="410">
        <v>82</v>
      </c>
      <c r="P21" s="497" t="s">
        <v>67</v>
      </c>
      <c r="Q21" s="617" t="s">
        <v>115</v>
      </c>
      <c r="R21" s="618"/>
      <c r="S21" s="618" t="s">
        <v>116</v>
      </c>
      <c r="T21" s="618"/>
      <c r="U21" s="618" t="s">
        <v>117</v>
      </c>
      <c r="V21" s="618"/>
      <c r="W21" s="618" t="s">
        <v>105</v>
      </c>
      <c r="X21" s="618"/>
      <c r="Y21" s="618" t="s">
        <v>118</v>
      </c>
      <c r="Z21" s="619"/>
    </row>
    <row r="22" spans="1:29" s="108" customFormat="1" ht="33.5" customHeight="1">
      <c r="A22" s="484"/>
      <c r="B22" s="484"/>
      <c r="C22" s="484"/>
      <c r="D22" s="484"/>
      <c r="E22" s="484"/>
      <c r="F22" s="484"/>
      <c r="G22" s="484"/>
      <c r="H22" s="484"/>
      <c r="I22" s="484"/>
      <c r="J22" s="484"/>
      <c r="M22" s="74"/>
      <c r="N22" s="410" t="s">
        <v>119</v>
      </c>
      <c r="O22" s="410">
        <v>94</v>
      </c>
      <c r="P22" s="497" t="s">
        <v>67</v>
      </c>
      <c r="Q22" s="617" t="s">
        <v>120</v>
      </c>
      <c r="R22" s="618"/>
      <c r="S22" s="618"/>
      <c r="T22" s="618"/>
      <c r="U22" s="618" t="s">
        <v>121</v>
      </c>
      <c r="V22" s="618"/>
      <c r="W22" s="618" t="s">
        <v>122</v>
      </c>
      <c r="X22" s="618"/>
      <c r="Y22" s="618" t="s">
        <v>123</v>
      </c>
      <c r="Z22" s="619"/>
      <c r="AA22" s="410"/>
      <c r="AB22" s="410"/>
      <c r="AC22" s="410"/>
    </row>
    <row r="23" spans="1:29" s="410" customFormat="1" ht="33" customHeight="1">
      <c r="A23" s="458" t="s">
        <v>250</v>
      </c>
      <c r="B23" s="108"/>
      <c r="C23" s="108"/>
      <c r="D23" s="108"/>
      <c r="E23" s="108"/>
      <c r="F23" s="108"/>
      <c r="G23" s="108"/>
      <c r="H23" s="108"/>
      <c r="I23" s="108"/>
      <c r="J23" s="108"/>
      <c r="M23" s="74"/>
      <c r="N23" s="108" t="s">
        <v>124</v>
      </c>
      <c r="O23" s="410">
        <v>100</v>
      </c>
      <c r="P23" s="497" t="s">
        <v>67</v>
      </c>
      <c r="Q23" s="617" t="s">
        <v>125</v>
      </c>
      <c r="R23" s="618"/>
      <c r="S23" s="618" t="s">
        <v>126</v>
      </c>
      <c r="T23" s="618"/>
      <c r="U23" s="475" t="s">
        <v>127</v>
      </c>
      <c r="V23" s="618" t="s">
        <v>128</v>
      </c>
      <c r="W23" s="618"/>
      <c r="X23" s="618" t="s">
        <v>105</v>
      </c>
      <c r="Y23" s="618"/>
      <c r="Z23" s="502" t="s">
        <v>72</v>
      </c>
      <c r="AA23" s="108"/>
      <c r="AB23" s="108"/>
      <c r="AC23" s="108"/>
    </row>
    <row r="24" spans="1:29" s="108" customFormat="1" ht="30" customHeight="1">
      <c r="A24" s="485" t="s">
        <v>80</v>
      </c>
      <c r="B24" s="472" t="s">
        <v>71</v>
      </c>
      <c r="C24" s="472" t="s">
        <v>72</v>
      </c>
      <c r="D24" s="643" t="s">
        <v>75</v>
      </c>
      <c r="E24" s="643"/>
      <c r="F24" s="472" t="s">
        <v>81</v>
      </c>
      <c r="G24" s="472" t="s">
        <v>82</v>
      </c>
      <c r="H24" s="472" t="s">
        <v>73</v>
      </c>
      <c r="I24" s="472" t="s">
        <v>83</v>
      </c>
      <c r="J24" s="504" t="s">
        <v>78</v>
      </c>
      <c r="M24" s="74"/>
      <c r="N24" s="108" t="s">
        <v>129</v>
      </c>
      <c r="O24" s="410">
        <v>105</v>
      </c>
      <c r="P24" s="497" t="s">
        <v>67</v>
      </c>
      <c r="Q24" s="614" t="s">
        <v>130</v>
      </c>
      <c r="R24" s="615"/>
      <c r="S24" s="615"/>
      <c r="T24" s="615"/>
      <c r="U24" s="615"/>
      <c r="V24" s="615"/>
      <c r="W24" s="615"/>
      <c r="X24" s="615"/>
      <c r="Y24" s="615"/>
      <c r="Z24" s="616"/>
    </row>
    <row r="25" spans="1:29" s="108" customFormat="1" ht="37.5" customHeight="1">
      <c r="A25" s="486" t="s">
        <v>247</v>
      </c>
      <c r="B25" s="477" t="s">
        <v>247</v>
      </c>
      <c r="C25" s="477" t="s">
        <v>247</v>
      </c>
      <c r="D25" s="649" t="s">
        <v>247</v>
      </c>
      <c r="E25" s="649"/>
      <c r="F25" s="481" t="s">
        <v>247</v>
      </c>
      <c r="G25" s="481" t="s">
        <v>247</v>
      </c>
      <c r="H25" s="477" t="s">
        <v>247</v>
      </c>
      <c r="I25" s="477" t="s">
        <v>247</v>
      </c>
      <c r="J25" s="505" t="s">
        <v>247</v>
      </c>
      <c r="Q25" s="513"/>
      <c r="R25" s="514"/>
      <c r="S25" s="514"/>
      <c r="T25" s="514"/>
      <c r="U25" s="514"/>
      <c r="V25" s="514"/>
      <c r="W25" s="514"/>
      <c r="X25" s="514"/>
      <c r="Y25" s="514"/>
      <c r="Z25" s="518"/>
    </row>
    <row r="26" spans="1:29" s="108" customFormat="1" ht="33.75" customHeight="1">
      <c r="A26" s="177" t="s">
        <v>251</v>
      </c>
      <c r="B26" s="483"/>
      <c r="C26" s="483"/>
      <c r="D26" s="483"/>
      <c r="E26" s="483"/>
      <c r="F26" s="483"/>
      <c r="G26" s="483"/>
      <c r="H26" s="483"/>
      <c r="I26" s="483"/>
      <c r="J26" s="483"/>
    </row>
    <row r="27" spans="1:29" s="108" customFormat="1" ht="33.75" customHeight="1">
      <c r="A27" s="177" t="s">
        <v>252</v>
      </c>
      <c r="B27" s="487"/>
      <c r="C27" s="487"/>
      <c r="D27" s="487"/>
      <c r="E27" s="487"/>
      <c r="F27" s="487"/>
      <c r="G27" s="487"/>
      <c r="H27" s="487"/>
      <c r="I27" s="487"/>
      <c r="J27" s="487"/>
      <c r="N27" s="457"/>
      <c r="O27" s="457"/>
      <c r="P27" s="457"/>
      <c r="Q27" s="457"/>
      <c r="R27" s="457"/>
      <c r="S27" s="457"/>
      <c r="T27" s="457"/>
      <c r="U27" s="457"/>
      <c r="V27" s="457"/>
      <c r="W27" s="457"/>
      <c r="X27" s="457"/>
      <c r="Y27" s="457"/>
      <c r="Z27" s="457"/>
      <c r="AA27" s="457"/>
      <c r="AB27" s="457"/>
      <c r="AC27" s="457"/>
    </row>
    <row r="28" spans="1:29" s="457" customFormat="1" ht="33.75" customHeight="1">
      <c r="A28" s="488" t="s">
        <v>253</v>
      </c>
      <c r="B28" s="108"/>
      <c r="C28" s="108"/>
      <c r="D28" s="108"/>
      <c r="E28" s="108"/>
      <c r="F28" s="108"/>
      <c r="G28" s="108"/>
      <c r="H28" s="108"/>
      <c r="I28" s="108"/>
      <c r="J28" s="108"/>
    </row>
    <row r="29" spans="1:29" s="457" customFormat="1" ht="33.75" customHeight="1">
      <c r="A29" s="710" t="s">
        <v>70</v>
      </c>
      <c r="B29" s="711"/>
      <c r="C29" s="711"/>
      <c r="D29" s="711"/>
      <c r="E29" s="712" t="s">
        <v>71</v>
      </c>
      <c r="F29" s="712"/>
      <c r="G29" s="712"/>
      <c r="H29" s="489" t="s">
        <v>72</v>
      </c>
      <c r="I29" s="712" t="s">
        <v>85</v>
      </c>
      <c r="J29" s="713"/>
    </row>
    <row r="30" spans="1:29" s="457" customFormat="1" ht="33.75" customHeight="1">
      <c r="A30" s="695" t="s">
        <v>247</v>
      </c>
      <c r="B30" s="696"/>
      <c r="C30" s="696"/>
      <c r="D30" s="697"/>
      <c r="E30" s="698" t="s">
        <v>247</v>
      </c>
      <c r="F30" s="699"/>
      <c r="G30" s="700"/>
      <c r="H30" s="419" t="s">
        <v>247</v>
      </c>
      <c r="I30" s="698" t="s">
        <v>247</v>
      </c>
      <c r="J30" s="701"/>
      <c r="N30" s="108"/>
      <c r="O30" s="108"/>
      <c r="P30" s="108"/>
      <c r="Q30" s="108"/>
      <c r="R30" s="108"/>
      <c r="S30" s="108"/>
      <c r="T30" s="108"/>
      <c r="U30" s="108"/>
      <c r="V30" s="108"/>
      <c r="W30" s="108"/>
      <c r="X30" s="108"/>
      <c r="Y30" s="108"/>
      <c r="Z30" s="108"/>
      <c r="AA30" s="108"/>
      <c r="AB30" s="108"/>
      <c r="AC30" s="108"/>
    </row>
    <row r="31" spans="1:29" s="108" customFormat="1" ht="33.75" customHeight="1">
      <c r="A31" s="702"/>
      <c r="B31" s="703"/>
      <c r="C31" s="703"/>
      <c r="D31" s="703"/>
      <c r="E31" s="704"/>
      <c r="F31" s="704"/>
      <c r="G31" s="704"/>
      <c r="H31" s="490"/>
      <c r="I31" s="704"/>
      <c r="J31" s="705"/>
    </row>
    <row r="32" spans="1:29" s="108" customFormat="1" ht="33.75" customHeight="1">
      <c r="A32" s="108" t="s">
        <v>254</v>
      </c>
    </row>
    <row r="33" spans="1:29" s="108" customFormat="1" ht="26.25" customHeight="1"/>
    <row r="34" spans="1:29" s="108" customFormat="1" ht="23.25" customHeight="1">
      <c r="A34" s="458" t="s">
        <v>255</v>
      </c>
    </row>
    <row r="35" spans="1:29" s="108" customFormat="1" ht="23.25" customHeight="1">
      <c r="A35" s="706" t="s">
        <v>70</v>
      </c>
      <c r="B35" s="707"/>
      <c r="C35" s="708" t="s">
        <v>71</v>
      </c>
      <c r="D35" s="709"/>
      <c r="E35" s="489" t="s">
        <v>87</v>
      </c>
      <c r="F35" s="489" t="s">
        <v>72</v>
      </c>
      <c r="G35" s="489" t="s">
        <v>73</v>
      </c>
      <c r="H35" s="489" t="s">
        <v>75</v>
      </c>
      <c r="I35" s="489" t="s">
        <v>88</v>
      </c>
      <c r="J35" s="489" t="s">
        <v>78</v>
      </c>
    </row>
    <row r="36" spans="1:29" s="108" customFormat="1" ht="23.25" customHeight="1">
      <c r="A36" s="695" t="s">
        <v>247</v>
      </c>
      <c r="B36" s="697"/>
      <c r="C36" s="698" t="s">
        <v>247</v>
      </c>
      <c r="D36" s="700"/>
      <c r="E36" s="419" t="s">
        <v>247</v>
      </c>
      <c r="F36" s="419" t="s">
        <v>247</v>
      </c>
      <c r="G36" s="419" t="s">
        <v>247</v>
      </c>
      <c r="H36" s="419" t="s">
        <v>247</v>
      </c>
      <c r="I36" s="419" t="s">
        <v>247</v>
      </c>
      <c r="J36" s="506" t="s">
        <v>247</v>
      </c>
    </row>
    <row r="37" spans="1:29" s="108" customFormat="1" ht="23.25" customHeight="1">
      <c r="A37" s="686"/>
      <c r="B37" s="687"/>
      <c r="C37" s="688"/>
      <c r="D37" s="689"/>
      <c r="E37" s="490"/>
      <c r="F37" s="490"/>
      <c r="G37" s="490"/>
      <c r="H37" s="490"/>
      <c r="I37" s="490"/>
      <c r="J37" s="507"/>
    </row>
    <row r="38" spans="1:29" s="108" customFormat="1" ht="23.25" customHeight="1">
      <c r="A38" s="108" t="s">
        <v>256</v>
      </c>
    </row>
    <row r="39" spans="1:29" s="108" customFormat="1" ht="23.25" customHeight="1">
      <c r="A39" s="108" t="s">
        <v>257</v>
      </c>
    </row>
    <row r="40" spans="1:29" s="108" customFormat="1" ht="23.25" customHeight="1"/>
    <row r="41" spans="1:29" s="108" customFormat="1" ht="23.25" customHeight="1">
      <c r="A41" s="458" t="s">
        <v>258</v>
      </c>
    </row>
    <row r="42" spans="1:29" s="108" customFormat="1" ht="23.25" customHeight="1">
      <c r="A42" s="655" t="s">
        <v>70</v>
      </c>
      <c r="B42" s="656"/>
      <c r="C42" s="657" t="s">
        <v>71</v>
      </c>
      <c r="D42" s="656"/>
      <c r="E42" s="472" t="s">
        <v>90</v>
      </c>
      <c r="F42" s="472" t="s">
        <v>72</v>
      </c>
      <c r="G42" s="472" t="s">
        <v>73</v>
      </c>
      <c r="H42" s="472" t="s">
        <v>75</v>
      </c>
      <c r="I42" s="489" t="s">
        <v>88</v>
      </c>
      <c r="J42" s="504" t="s">
        <v>78</v>
      </c>
    </row>
    <row r="43" spans="1:29" s="108" customFormat="1" ht="23.25" customHeight="1">
      <c r="A43" s="659" t="s">
        <v>247</v>
      </c>
      <c r="B43" s="660"/>
      <c r="C43" s="662" t="s">
        <v>247</v>
      </c>
      <c r="D43" s="690"/>
      <c r="E43" s="475" t="s">
        <v>247</v>
      </c>
      <c r="F43" s="475" t="s">
        <v>247</v>
      </c>
      <c r="G43" s="475" t="s">
        <v>247</v>
      </c>
      <c r="H43" s="491" t="s">
        <v>247</v>
      </c>
      <c r="I43" s="508" t="s">
        <v>247</v>
      </c>
      <c r="J43" s="509" t="s">
        <v>247</v>
      </c>
    </row>
    <row r="44" spans="1:29" s="108" customFormat="1" ht="23.25" customHeight="1">
      <c r="A44" s="691"/>
      <c r="B44" s="692"/>
      <c r="C44" s="693"/>
      <c r="D44" s="694"/>
      <c r="E44" s="477"/>
      <c r="F44" s="477"/>
      <c r="G44" s="477"/>
      <c r="H44" s="479"/>
      <c r="I44" s="480"/>
      <c r="J44" s="510"/>
    </row>
    <row r="45" spans="1:29" s="108" customFormat="1" ht="23.25" customHeight="1">
      <c r="A45" s="108" t="s">
        <v>259</v>
      </c>
    </row>
    <row r="46" spans="1:29" s="108" customFormat="1" ht="23.25" customHeight="1">
      <c r="A46" s="108" t="s">
        <v>252</v>
      </c>
    </row>
    <row r="47" spans="1:29" s="108" customFormat="1" ht="23.25" customHeight="1"/>
    <row r="48" spans="1:29" s="108" customFormat="1" ht="23.25" customHeight="1">
      <c r="A48" s="458" t="s">
        <v>260</v>
      </c>
      <c r="N48" s="410"/>
      <c r="O48" s="410"/>
      <c r="P48" s="410"/>
      <c r="Q48" s="410"/>
      <c r="R48" s="410"/>
      <c r="S48" s="410"/>
      <c r="T48" s="410"/>
      <c r="U48" s="410"/>
      <c r="V48" s="410"/>
      <c r="W48" s="410"/>
      <c r="X48" s="410"/>
      <c r="Y48" s="410"/>
      <c r="Z48" s="410"/>
      <c r="AA48" s="410"/>
      <c r="AB48" s="410"/>
      <c r="AC48" s="410"/>
    </row>
    <row r="49" spans="1:29" s="410" customFormat="1" ht="23.25" customHeight="1">
      <c r="A49" s="108" t="s">
        <v>261</v>
      </c>
      <c r="B49" s="108"/>
      <c r="C49" s="108"/>
      <c r="D49" s="108"/>
      <c r="E49" s="108"/>
      <c r="F49" s="108"/>
      <c r="G49" s="108"/>
      <c r="H49" s="108"/>
      <c r="I49" s="108"/>
      <c r="J49" s="108"/>
      <c r="N49" s="108"/>
      <c r="O49" s="108"/>
      <c r="P49" s="108"/>
      <c r="Q49" s="108"/>
      <c r="R49" s="108"/>
      <c r="S49" s="108"/>
      <c r="T49" s="108"/>
      <c r="U49" s="108"/>
      <c r="V49" s="108"/>
      <c r="W49" s="108"/>
      <c r="X49" s="108"/>
      <c r="Y49" s="108"/>
      <c r="Z49" s="108"/>
      <c r="AA49" s="108"/>
      <c r="AB49" s="108"/>
      <c r="AC49" s="108"/>
    </row>
    <row r="50" spans="1:29" s="108" customFormat="1" ht="23.25" customHeight="1">
      <c r="A50" s="485" t="s">
        <v>92</v>
      </c>
      <c r="B50" s="643" t="s">
        <v>93</v>
      </c>
      <c r="C50" s="643"/>
      <c r="D50" s="643" t="s">
        <v>94</v>
      </c>
      <c r="E50" s="643"/>
      <c r="F50" s="472" t="s">
        <v>95</v>
      </c>
      <c r="G50" s="643" t="s">
        <v>96</v>
      </c>
      <c r="H50" s="643"/>
      <c r="I50" s="643" t="s">
        <v>78</v>
      </c>
      <c r="J50" s="650"/>
    </row>
    <row r="51" spans="1:29" s="108" customFormat="1" ht="23.25" customHeight="1">
      <c r="A51" s="492" t="s">
        <v>247</v>
      </c>
      <c r="B51" s="618" t="s">
        <v>247</v>
      </c>
      <c r="C51" s="618"/>
      <c r="D51" s="618" t="s">
        <v>247</v>
      </c>
      <c r="E51" s="618"/>
      <c r="F51" s="475" t="s">
        <v>247</v>
      </c>
      <c r="G51" s="618" t="s">
        <v>247</v>
      </c>
      <c r="H51" s="618"/>
      <c r="I51" s="618" t="s">
        <v>247</v>
      </c>
      <c r="J51" s="619"/>
    </row>
    <row r="52" spans="1:29" s="108" customFormat="1" ht="23.25" customHeight="1">
      <c r="A52" s="486"/>
      <c r="B52" s="647"/>
      <c r="C52" s="647"/>
      <c r="D52" s="647"/>
      <c r="E52" s="647"/>
      <c r="F52" s="477"/>
      <c r="G52" s="647"/>
      <c r="H52" s="647"/>
      <c r="I52" s="647"/>
      <c r="J52" s="685"/>
    </row>
    <row r="53" spans="1:29" s="108" customFormat="1" ht="23.25" customHeight="1">
      <c r="A53" s="177" t="s">
        <v>262</v>
      </c>
      <c r="B53" s="483"/>
      <c r="C53" s="483"/>
      <c r="D53" s="483"/>
      <c r="E53" s="483"/>
      <c r="F53" s="483"/>
      <c r="G53" s="483"/>
      <c r="H53" s="483"/>
      <c r="I53" s="483"/>
      <c r="J53" s="483"/>
    </row>
    <row r="54" spans="1:29" s="108" customFormat="1" ht="23.25" customHeight="1">
      <c r="A54" s="639" t="s">
        <v>263</v>
      </c>
      <c r="B54" s="639"/>
      <c r="C54" s="639"/>
      <c r="D54" s="639"/>
      <c r="E54" s="639"/>
      <c r="F54" s="639"/>
      <c r="G54" s="639"/>
      <c r="H54" s="639"/>
      <c r="I54" s="639"/>
      <c r="J54" s="639"/>
    </row>
    <row r="55" spans="1:29" s="108" customFormat="1" ht="23.25" customHeight="1">
      <c r="A55" s="639"/>
      <c r="B55" s="639"/>
      <c r="C55" s="639"/>
      <c r="D55" s="639"/>
      <c r="E55" s="639"/>
      <c r="F55" s="639"/>
      <c r="G55" s="639"/>
      <c r="H55" s="639"/>
      <c r="I55" s="639"/>
      <c r="J55" s="639"/>
      <c r="N55" s="410"/>
      <c r="O55" s="410"/>
      <c r="P55" s="410"/>
      <c r="Q55" s="410"/>
      <c r="R55" s="410"/>
      <c r="S55" s="410"/>
      <c r="T55" s="410"/>
      <c r="U55" s="410"/>
      <c r="V55" s="410"/>
      <c r="W55" s="410"/>
      <c r="X55" s="410"/>
      <c r="Y55" s="410"/>
      <c r="Z55" s="410"/>
      <c r="AA55" s="410"/>
      <c r="AB55" s="410"/>
      <c r="AC55" s="410"/>
    </row>
    <row r="56" spans="1:29" s="410" customFormat="1" ht="23.25" customHeight="1">
      <c r="A56" s="108" t="s">
        <v>264</v>
      </c>
      <c r="B56" s="108"/>
      <c r="C56" s="108"/>
      <c r="D56" s="108"/>
      <c r="E56" s="108"/>
      <c r="F56" s="108"/>
      <c r="G56" s="108"/>
      <c r="H56" s="108"/>
      <c r="I56" s="108"/>
      <c r="J56" s="108"/>
      <c r="N56" s="108"/>
      <c r="O56" s="108"/>
      <c r="P56" s="108"/>
      <c r="Q56" s="108"/>
      <c r="R56" s="108"/>
      <c r="S56" s="108"/>
      <c r="T56" s="108"/>
      <c r="U56" s="108"/>
      <c r="V56" s="108"/>
      <c r="W56" s="108"/>
      <c r="X56" s="108"/>
      <c r="Y56" s="108"/>
      <c r="Z56" s="108"/>
      <c r="AA56" s="108"/>
      <c r="AB56" s="108"/>
      <c r="AC56" s="108"/>
    </row>
    <row r="57" spans="1:29" s="108" customFormat="1" ht="23.25" customHeight="1">
      <c r="A57" s="485" t="s">
        <v>92</v>
      </c>
      <c r="B57" s="643" t="s">
        <v>93</v>
      </c>
      <c r="C57" s="643"/>
      <c r="D57" s="643" t="s">
        <v>98</v>
      </c>
      <c r="E57" s="643"/>
      <c r="F57" s="472" t="s">
        <v>95</v>
      </c>
      <c r="G57" s="643" t="s">
        <v>96</v>
      </c>
      <c r="H57" s="643"/>
      <c r="I57" s="643" t="s">
        <v>78</v>
      </c>
      <c r="J57" s="650"/>
    </row>
    <row r="58" spans="1:29" s="108" customFormat="1" ht="23.25" customHeight="1">
      <c r="A58" s="492" t="s">
        <v>247</v>
      </c>
      <c r="B58" s="618" t="s">
        <v>247</v>
      </c>
      <c r="C58" s="618"/>
      <c r="D58" s="618" t="s">
        <v>247</v>
      </c>
      <c r="E58" s="618"/>
      <c r="F58" s="475" t="s">
        <v>247</v>
      </c>
      <c r="G58" s="618" t="s">
        <v>247</v>
      </c>
      <c r="H58" s="618"/>
      <c r="I58" s="618" t="s">
        <v>247</v>
      </c>
      <c r="J58" s="619"/>
    </row>
    <row r="59" spans="1:29" s="108" customFormat="1" ht="23.25" customHeight="1">
      <c r="A59" s="486"/>
      <c r="B59" s="647"/>
      <c r="C59" s="647"/>
      <c r="D59" s="647"/>
      <c r="E59" s="647"/>
      <c r="F59" s="477"/>
      <c r="G59" s="647"/>
      <c r="H59" s="647"/>
      <c r="I59" s="647"/>
      <c r="J59" s="685"/>
    </row>
    <row r="60" spans="1:29" s="108" customFormat="1" ht="23.25" customHeight="1">
      <c r="A60" s="108" t="s">
        <v>265</v>
      </c>
    </row>
    <row r="61" spans="1:29" s="108" customFormat="1" ht="23.25" customHeight="1">
      <c r="A61" s="487"/>
      <c r="B61" s="487"/>
      <c r="C61" s="487"/>
      <c r="D61" s="487"/>
      <c r="E61" s="487"/>
      <c r="F61" s="487"/>
      <c r="G61" s="487"/>
      <c r="H61" s="487"/>
      <c r="I61" s="487"/>
      <c r="J61" s="487"/>
    </row>
    <row r="62" spans="1:29" s="108" customFormat="1" ht="23.25" customHeight="1">
      <c r="A62" s="458" t="s">
        <v>266</v>
      </c>
    </row>
    <row r="63" spans="1:29" s="108" customFormat="1" ht="23.25" customHeight="1">
      <c r="A63" s="485" t="s">
        <v>100</v>
      </c>
      <c r="B63" s="643" t="s">
        <v>101</v>
      </c>
      <c r="C63" s="643"/>
      <c r="D63" s="643" t="s">
        <v>102</v>
      </c>
      <c r="E63" s="643"/>
      <c r="F63" s="472" t="s">
        <v>103</v>
      </c>
      <c r="G63" s="643" t="s">
        <v>104</v>
      </c>
      <c r="H63" s="643"/>
      <c r="I63" s="643" t="s">
        <v>105</v>
      </c>
      <c r="J63" s="650"/>
    </row>
    <row r="64" spans="1:29" s="108" customFormat="1" ht="23.25" customHeight="1">
      <c r="A64" s="492" t="s">
        <v>247</v>
      </c>
      <c r="B64" s="618" t="s">
        <v>247</v>
      </c>
      <c r="C64" s="618"/>
      <c r="D64" s="618" t="s">
        <v>247</v>
      </c>
      <c r="E64" s="618"/>
      <c r="F64" s="475" t="s">
        <v>247</v>
      </c>
      <c r="G64" s="618" t="s">
        <v>247</v>
      </c>
      <c r="H64" s="618"/>
      <c r="I64" s="618" t="s">
        <v>247</v>
      </c>
      <c r="J64" s="619"/>
    </row>
    <row r="65" spans="1:10" s="108" customFormat="1" ht="23.25" customHeight="1">
      <c r="A65" s="486"/>
      <c r="B65" s="647"/>
      <c r="C65" s="647"/>
      <c r="D65" s="647"/>
      <c r="E65" s="647"/>
      <c r="F65" s="477"/>
      <c r="G65" s="647"/>
      <c r="H65" s="647"/>
      <c r="I65" s="647"/>
      <c r="J65" s="685"/>
    </row>
    <row r="66" spans="1:10" s="108" customFormat="1" ht="23.25" customHeight="1">
      <c r="A66" s="108" t="s">
        <v>267</v>
      </c>
    </row>
    <row r="67" spans="1:10" s="108" customFormat="1" ht="23.25" customHeight="1"/>
    <row r="68" spans="1:10" s="108" customFormat="1" ht="23.25" customHeight="1">
      <c r="A68" s="458" t="s">
        <v>268</v>
      </c>
    </row>
    <row r="69" spans="1:10" s="108" customFormat="1" ht="23.25" customHeight="1">
      <c r="A69" s="485" t="s">
        <v>107</v>
      </c>
      <c r="B69" s="472" t="s">
        <v>108</v>
      </c>
      <c r="C69" s="643" t="s">
        <v>109</v>
      </c>
      <c r="D69" s="643"/>
      <c r="E69" s="472" t="s">
        <v>103</v>
      </c>
      <c r="F69" s="472" t="s">
        <v>104</v>
      </c>
      <c r="G69" s="472" t="s">
        <v>105</v>
      </c>
      <c r="H69" s="472" t="s">
        <v>110</v>
      </c>
      <c r="I69" s="472" t="s">
        <v>111</v>
      </c>
      <c r="J69" s="504" t="s">
        <v>112</v>
      </c>
    </row>
    <row r="70" spans="1:10" s="108" customFormat="1" ht="23.25" customHeight="1">
      <c r="A70" s="492" t="s">
        <v>247</v>
      </c>
      <c r="B70" s="475" t="s">
        <v>247</v>
      </c>
      <c r="C70" s="618" t="s">
        <v>247</v>
      </c>
      <c r="D70" s="618"/>
      <c r="E70" s="475" t="s">
        <v>247</v>
      </c>
      <c r="F70" s="508" t="s">
        <v>247</v>
      </c>
      <c r="G70" s="491" t="s">
        <v>247</v>
      </c>
      <c r="H70" s="519" t="s">
        <v>247</v>
      </c>
      <c r="I70" s="519" t="s">
        <v>247</v>
      </c>
      <c r="J70" s="509" t="s">
        <v>247</v>
      </c>
    </row>
    <row r="71" spans="1:10" s="108" customFormat="1" ht="23.25" customHeight="1">
      <c r="A71" s="486"/>
      <c r="B71" s="477"/>
      <c r="C71" s="647"/>
      <c r="D71" s="647"/>
      <c r="E71" s="477"/>
      <c r="F71" s="480"/>
      <c r="G71" s="479"/>
      <c r="H71" s="481"/>
      <c r="I71" s="481"/>
      <c r="J71" s="510"/>
    </row>
    <row r="72" spans="1:10" s="108" customFormat="1" ht="23.25" customHeight="1">
      <c r="A72" s="108" t="s">
        <v>269</v>
      </c>
    </row>
    <row r="73" spans="1:10" s="108" customFormat="1" ht="23.25" customHeight="1"/>
    <row r="74" spans="1:10" s="108" customFormat="1" ht="23.25" customHeight="1">
      <c r="A74" s="458" t="s">
        <v>270</v>
      </c>
    </row>
    <row r="75" spans="1:10" s="108" customFormat="1" ht="23.25" customHeight="1">
      <c r="A75" s="655" t="s">
        <v>107</v>
      </c>
      <c r="B75" s="656"/>
      <c r="C75" s="680" t="s">
        <v>109</v>
      </c>
      <c r="D75" s="681"/>
      <c r="E75" s="657" t="s">
        <v>103</v>
      </c>
      <c r="F75" s="656"/>
      <c r="G75" s="657" t="s">
        <v>104</v>
      </c>
      <c r="H75" s="656"/>
      <c r="I75" s="657" t="s">
        <v>105</v>
      </c>
      <c r="J75" s="658"/>
    </row>
    <row r="76" spans="1:10" s="108" customFormat="1" ht="23.25" customHeight="1">
      <c r="A76" s="659" t="s">
        <v>247</v>
      </c>
      <c r="B76" s="660"/>
      <c r="C76" s="682" t="s">
        <v>247</v>
      </c>
      <c r="D76" s="660"/>
      <c r="E76" s="682" t="s">
        <v>247</v>
      </c>
      <c r="F76" s="660"/>
      <c r="G76" s="683" t="s">
        <v>247</v>
      </c>
      <c r="H76" s="684"/>
      <c r="I76" s="662" t="s">
        <v>247</v>
      </c>
      <c r="J76" s="663"/>
    </row>
    <row r="77" spans="1:10" s="108" customFormat="1" ht="23.25" customHeight="1">
      <c r="A77" s="664"/>
      <c r="B77" s="665"/>
      <c r="C77" s="675"/>
      <c r="D77" s="676"/>
      <c r="E77" s="677"/>
      <c r="F77" s="665"/>
      <c r="G77" s="678"/>
      <c r="H77" s="679"/>
      <c r="I77" s="667"/>
      <c r="J77" s="668"/>
    </row>
    <row r="78" spans="1:10" s="108" customFormat="1" ht="23.25" customHeight="1">
      <c r="A78" s="108" t="s">
        <v>271</v>
      </c>
    </row>
    <row r="79" spans="1:10" s="108" customFormat="1" ht="23.25" customHeight="1"/>
    <row r="80" spans="1:10" s="108" customFormat="1" ht="23.25" customHeight="1">
      <c r="A80" s="458" t="s">
        <v>272</v>
      </c>
    </row>
    <row r="81" spans="1:10" s="108" customFormat="1" ht="23.25" customHeight="1">
      <c r="A81" s="642" t="s">
        <v>115</v>
      </c>
      <c r="B81" s="643"/>
      <c r="C81" s="643" t="s">
        <v>116</v>
      </c>
      <c r="D81" s="643"/>
      <c r="E81" s="643" t="s">
        <v>117</v>
      </c>
      <c r="F81" s="643"/>
      <c r="G81" s="643" t="s">
        <v>105</v>
      </c>
      <c r="H81" s="643"/>
      <c r="I81" s="643" t="s">
        <v>118</v>
      </c>
      <c r="J81" s="650"/>
    </row>
    <row r="82" spans="1:10" s="108" customFormat="1" ht="23.25" customHeight="1">
      <c r="A82" s="669" t="s">
        <v>247</v>
      </c>
      <c r="B82" s="644"/>
      <c r="C82" s="618" t="s">
        <v>247</v>
      </c>
      <c r="D82" s="618"/>
      <c r="E82" s="645" t="s">
        <v>247</v>
      </c>
      <c r="F82" s="645"/>
      <c r="G82" s="615" t="s">
        <v>247</v>
      </c>
      <c r="H82" s="615"/>
      <c r="I82" s="645" t="s">
        <v>247</v>
      </c>
      <c r="J82" s="670"/>
    </row>
    <row r="83" spans="1:10" s="108" customFormat="1" ht="23.25" customHeight="1">
      <c r="A83" s="671"/>
      <c r="B83" s="648"/>
      <c r="C83" s="647"/>
      <c r="D83" s="647"/>
      <c r="E83" s="649"/>
      <c r="F83" s="649"/>
      <c r="G83" s="672"/>
      <c r="H83" s="672"/>
      <c r="I83" s="673"/>
      <c r="J83" s="674"/>
    </row>
    <row r="84" spans="1:10" s="108" customFormat="1" ht="23.25" customHeight="1">
      <c r="A84" s="108" t="s">
        <v>273</v>
      </c>
    </row>
    <row r="85" spans="1:10" s="108" customFormat="1" ht="23.25" customHeight="1"/>
    <row r="86" spans="1:10" s="108" customFormat="1" ht="23.25" customHeight="1">
      <c r="A86" s="458" t="s">
        <v>274</v>
      </c>
    </row>
    <row r="87" spans="1:10" s="108" customFormat="1" ht="23.25" customHeight="1">
      <c r="A87" s="655" t="s">
        <v>275</v>
      </c>
      <c r="B87" s="656"/>
      <c r="C87" s="643" t="s">
        <v>276</v>
      </c>
      <c r="D87" s="643"/>
      <c r="E87" s="472" t="s">
        <v>277</v>
      </c>
      <c r="F87" s="643" t="s">
        <v>278</v>
      </c>
      <c r="G87" s="643"/>
      <c r="H87" s="472" t="s">
        <v>279</v>
      </c>
      <c r="I87" s="657" t="s">
        <v>280</v>
      </c>
      <c r="J87" s="658"/>
    </row>
    <row r="88" spans="1:10" s="108" customFormat="1" ht="23.25" customHeight="1">
      <c r="A88" s="659" t="s">
        <v>281</v>
      </c>
      <c r="B88" s="660"/>
      <c r="C88" s="644" t="s">
        <v>247</v>
      </c>
      <c r="D88" s="644"/>
      <c r="E88" s="475" t="s">
        <v>247</v>
      </c>
      <c r="F88" s="651" t="s">
        <v>247</v>
      </c>
      <c r="G88" s="661"/>
      <c r="H88" s="520" t="s">
        <v>247</v>
      </c>
      <c r="I88" s="662" t="s">
        <v>247</v>
      </c>
      <c r="J88" s="663"/>
    </row>
    <row r="89" spans="1:10" s="108" customFormat="1" ht="23.25" customHeight="1">
      <c r="A89" s="664" t="s">
        <v>282</v>
      </c>
      <c r="B89" s="665"/>
      <c r="C89" s="648" t="s">
        <v>247</v>
      </c>
      <c r="D89" s="648"/>
      <c r="E89" s="477" t="s">
        <v>247</v>
      </c>
      <c r="F89" s="653" t="s">
        <v>247</v>
      </c>
      <c r="G89" s="666"/>
      <c r="H89" s="521" t="s">
        <v>247</v>
      </c>
      <c r="I89" s="667" t="s">
        <v>247</v>
      </c>
      <c r="J89" s="668"/>
    </row>
    <row r="90" spans="1:10" s="108" customFormat="1" ht="23.25" customHeight="1">
      <c r="A90" s="108" t="s">
        <v>283</v>
      </c>
    </row>
    <row r="91" spans="1:10" s="108" customFormat="1" ht="23.25" customHeight="1"/>
    <row r="92" spans="1:10" s="108" customFormat="1" ht="23.25" customHeight="1">
      <c r="A92" s="458" t="s">
        <v>284</v>
      </c>
    </row>
    <row r="93" spans="1:10" s="108" customFormat="1" ht="23.25" customHeight="1">
      <c r="A93" s="642" t="s">
        <v>120</v>
      </c>
      <c r="B93" s="643"/>
      <c r="C93" s="643"/>
      <c r="D93" s="643"/>
      <c r="E93" s="643" t="s">
        <v>121</v>
      </c>
      <c r="F93" s="643"/>
      <c r="G93" s="643" t="s">
        <v>122</v>
      </c>
      <c r="H93" s="643"/>
      <c r="I93" s="643" t="s">
        <v>123</v>
      </c>
      <c r="J93" s="650"/>
    </row>
    <row r="94" spans="1:10" s="108" customFormat="1" ht="23.25" customHeight="1">
      <c r="A94" s="617" t="s">
        <v>247</v>
      </c>
      <c r="B94" s="618"/>
      <c r="C94" s="618"/>
      <c r="D94" s="618"/>
      <c r="E94" s="644" t="s">
        <v>247</v>
      </c>
      <c r="F94" s="644"/>
      <c r="G94" s="618" t="s">
        <v>247</v>
      </c>
      <c r="H94" s="618"/>
      <c r="I94" s="651" t="s">
        <v>247</v>
      </c>
      <c r="J94" s="652"/>
    </row>
    <row r="95" spans="1:10" s="108" customFormat="1" ht="23.25" customHeight="1">
      <c r="A95" s="646"/>
      <c r="B95" s="647"/>
      <c r="C95" s="647"/>
      <c r="D95" s="647"/>
      <c r="E95" s="648"/>
      <c r="F95" s="648"/>
      <c r="G95" s="647"/>
      <c r="H95" s="647"/>
      <c r="I95" s="653"/>
      <c r="J95" s="654"/>
    </row>
    <row r="96" spans="1:10" s="108" customFormat="1" ht="23.25" customHeight="1">
      <c r="A96" s="108" t="s">
        <v>285</v>
      </c>
    </row>
    <row r="97" spans="1:10" s="108" customFormat="1" ht="23.25" customHeight="1"/>
    <row r="98" spans="1:10" s="108" customFormat="1" ht="23.25" customHeight="1">
      <c r="A98" s="458" t="s">
        <v>286</v>
      </c>
    </row>
    <row r="99" spans="1:10" s="108" customFormat="1" ht="23.25" customHeight="1">
      <c r="A99" s="642" t="s">
        <v>125</v>
      </c>
      <c r="B99" s="643"/>
      <c r="C99" s="643" t="s">
        <v>126</v>
      </c>
      <c r="D99" s="643"/>
      <c r="E99" s="472" t="s">
        <v>127</v>
      </c>
      <c r="F99" s="643" t="s">
        <v>128</v>
      </c>
      <c r="G99" s="643"/>
      <c r="H99" s="643" t="s">
        <v>105</v>
      </c>
      <c r="I99" s="643"/>
      <c r="J99" s="504" t="s">
        <v>72</v>
      </c>
    </row>
    <row r="100" spans="1:10" s="108" customFormat="1" ht="23.25" customHeight="1">
      <c r="A100" s="617" t="s">
        <v>247</v>
      </c>
      <c r="B100" s="618"/>
      <c r="C100" s="644" t="s">
        <v>247</v>
      </c>
      <c r="D100" s="644"/>
      <c r="E100" s="475" t="s">
        <v>247</v>
      </c>
      <c r="F100" s="645" t="s">
        <v>247</v>
      </c>
      <c r="G100" s="645"/>
      <c r="H100" s="618" t="s">
        <v>247</v>
      </c>
      <c r="I100" s="618"/>
      <c r="J100" s="502" t="s">
        <v>247</v>
      </c>
    </row>
    <row r="101" spans="1:10" s="108" customFormat="1" ht="23.25" customHeight="1">
      <c r="A101" s="646"/>
      <c r="B101" s="647"/>
      <c r="C101" s="648"/>
      <c r="D101" s="648"/>
      <c r="E101" s="477"/>
      <c r="F101" s="649"/>
      <c r="G101" s="649"/>
      <c r="H101" s="647"/>
      <c r="I101" s="647"/>
      <c r="J101" s="505"/>
    </row>
    <row r="102" spans="1:10" s="108" customFormat="1" ht="23.25" customHeight="1">
      <c r="A102" s="177" t="s">
        <v>287</v>
      </c>
      <c r="B102" s="522"/>
      <c r="C102" s="523"/>
      <c r="D102" s="523"/>
      <c r="E102" s="522"/>
      <c r="F102" s="524"/>
      <c r="G102" s="524"/>
      <c r="H102" s="522"/>
      <c r="I102" s="522"/>
      <c r="J102" s="522"/>
    </row>
    <row r="103" spans="1:10" s="108" customFormat="1" ht="23.25" customHeight="1">
      <c r="A103" s="177"/>
      <c r="B103" s="522"/>
      <c r="C103" s="523"/>
      <c r="D103" s="523"/>
      <c r="E103" s="522"/>
      <c r="F103" s="524"/>
      <c r="G103" s="524"/>
      <c r="H103" s="522"/>
      <c r="I103" s="522"/>
      <c r="J103" s="522"/>
    </row>
    <row r="104" spans="1:10" s="108" customFormat="1" ht="23.25" customHeight="1">
      <c r="A104" s="458" t="s">
        <v>130</v>
      </c>
    </row>
    <row r="105" spans="1:10" s="108" customFormat="1" ht="23.25" customHeight="1">
      <c r="A105" s="525" t="s">
        <v>247</v>
      </c>
      <c r="B105" s="526"/>
      <c r="C105" s="526"/>
      <c r="D105" s="526"/>
      <c r="E105" s="526"/>
      <c r="F105" s="526"/>
      <c r="G105" s="526"/>
      <c r="H105" s="526"/>
      <c r="I105" s="526"/>
      <c r="J105" s="532"/>
    </row>
    <row r="106" spans="1:10" s="108" customFormat="1" ht="23.25" customHeight="1">
      <c r="A106" s="527"/>
      <c r="B106" s="528"/>
      <c r="C106" s="528"/>
      <c r="D106" s="528"/>
      <c r="E106" s="528"/>
      <c r="F106" s="528"/>
      <c r="G106" s="528"/>
      <c r="H106" s="528"/>
      <c r="I106" s="528"/>
      <c r="J106" s="533"/>
    </row>
    <row r="107" spans="1:10" s="108" customFormat="1" ht="23.25" customHeight="1">
      <c r="A107" s="638" t="s">
        <v>288</v>
      </c>
      <c r="B107" s="638"/>
      <c r="C107" s="638"/>
      <c r="D107" s="638"/>
      <c r="E107" s="638"/>
      <c r="F107" s="638"/>
      <c r="G107" s="638"/>
      <c r="H107" s="638"/>
      <c r="I107" s="638"/>
      <c r="J107" s="638"/>
    </row>
    <row r="108" spans="1:10" s="108" customFormat="1" ht="23.25" customHeight="1">
      <c r="A108" s="639"/>
      <c r="B108" s="639"/>
      <c r="C108" s="639"/>
      <c r="D108" s="639"/>
      <c r="E108" s="639"/>
      <c r="F108" s="639"/>
      <c r="G108" s="639"/>
      <c r="H108" s="639"/>
      <c r="I108" s="639"/>
      <c r="J108" s="639"/>
    </row>
    <row r="109" spans="1:10" s="108" customFormat="1" ht="23.25" customHeight="1">
      <c r="A109" s="487"/>
      <c r="B109" s="487"/>
      <c r="C109" s="487"/>
      <c r="D109" s="487"/>
      <c r="E109" s="487"/>
      <c r="F109" s="487"/>
      <c r="G109" s="487"/>
      <c r="H109" s="487"/>
      <c r="I109" s="487"/>
      <c r="J109" s="487"/>
    </row>
    <row r="110" spans="1:10" s="108" customFormat="1" ht="23.25" customHeight="1">
      <c r="A110" s="487"/>
      <c r="B110" s="487"/>
      <c r="C110" s="487"/>
      <c r="D110" s="487"/>
      <c r="E110" s="487"/>
      <c r="F110" s="487"/>
      <c r="G110" s="487"/>
      <c r="H110" s="487"/>
      <c r="I110" s="487"/>
      <c r="J110" s="487"/>
    </row>
    <row r="111" spans="1:10" s="108" customFormat="1" ht="23.25" customHeight="1">
      <c r="A111" s="487"/>
      <c r="B111" s="487"/>
      <c r="C111" s="487"/>
      <c r="D111" s="487"/>
      <c r="E111" s="487"/>
      <c r="F111" s="487"/>
      <c r="G111" s="487"/>
      <c r="H111" s="487"/>
      <c r="I111" s="487"/>
      <c r="J111" s="487"/>
    </row>
    <row r="112" spans="1:10" s="108" customFormat="1" ht="23.25" customHeight="1">
      <c r="A112" s="487"/>
      <c r="B112" s="487"/>
      <c r="C112" s="487"/>
      <c r="D112" s="487"/>
      <c r="E112" s="487"/>
      <c r="F112" s="487"/>
      <c r="G112" s="487"/>
      <c r="H112" s="487"/>
      <c r="I112" s="487"/>
      <c r="J112" s="487"/>
    </row>
    <row r="113" spans="1:29" s="108" customFormat="1" ht="23.25" customHeight="1">
      <c r="A113" s="487"/>
      <c r="B113" s="487"/>
      <c r="C113" s="487"/>
      <c r="D113" s="487"/>
      <c r="E113" s="487"/>
      <c r="F113" s="487"/>
      <c r="G113" s="487"/>
      <c r="H113" s="487"/>
      <c r="I113" s="487"/>
      <c r="J113" s="487"/>
    </row>
    <row r="114" spans="1:29" s="108" customFormat="1" ht="12.75">
      <c r="H114" s="393" t="s">
        <v>289</v>
      </c>
    </row>
    <row r="115" spans="1:29" s="108" customFormat="1" ht="12.75">
      <c r="H115" s="393"/>
    </row>
    <row r="116" spans="1:29" s="108" customFormat="1" ht="12.75">
      <c r="E116" s="626" t="e">
        <f>INDEX(基本信息!B:B,MATCH(H4,基本信息!D:D,0))</f>
        <v>#N/A</v>
      </c>
      <c r="F116" s="626"/>
      <c r="G116" s="626"/>
      <c r="H116" s="626"/>
      <c r="I116" s="626"/>
      <c r="J116" s="626"/>
    </row>
    <row r="117" spans="1:29" s="108" customFormat="1" ht="12.75">
      <c r="H117" s="393"/>
    </row>
    <row r="118" spans="1:29" s="108" customFormat="1" ht="12.75">
      <c r="H118" s="177"/>
    </row>
    <row r="119" spans="1:29" s="108" customFormat="1" ht="12.75">
      <c r="H119" s="635" t="s">
        <v>290</v>
      </c>
      <c r="I119" s="635"/>
      <c r="J119" s="635"/>
    </row>
    <row r="120" spans="1:29" s="108" customFormat="1" ht="12.75">
      <c r="H120" s="177" t="s">
        <v>291</v>
      </c>
      <c r="I120" s="393"/>
      <c r="J120" s="393"/>
    </row>
    <row r="121" spans="1:29" s="108" customFormat="1" ht="12.75">
      <c r="H121" s="177" t="s">
        <v>292</v>
      </c>
      <c r="I121" s="393"/>
      <c r="J121" s="393"/>
    </row>
    <row r="122" spans="1:29" s="108" customFormat="1" ht="12.75">
      <c r="H122" s="108" t="s">
        <v>293</v>
      </c>
      <c r="N122" s="458"/>
      <c r="O122" s="458"/>
      <c r="P122" s="458"/>
      <c r="Q122" s="458"/>
      <c r="R122" s="458"/>
      <c r="S122" s="458"/>
      <c r="T122" s="458"/>
      <c r="U122" s="458"/>
      <c r="V122" s="458"/>
      <c r="W122" s="458"/>
      <c r="X122" s="458"/>
      <c r="Y122" s="458"/>
      <c r="Z122" s="458"/>
      <c r="AA122" s="458"/>
      <c r="AB122" s="458"/>
      <c r="AC122" s="458"/>
    </row>
    <row r="123" spans="1:29" s="458" customFormat="1" ht="12.75">
      <c r="A123" s="108"/>
      <c r="B123" s="108"/>
      <c r="C123" s="108"/>
      <c r="D123" s="108"/>
      <c r="E123" s="108"/>
      <c r="F123" s="108"/>
      <c r="G123" s="108"/>
      <c r="H123" s="108"/>
      <c r="I123" s="108"/>
      <c r="J123" s="108"/>
    </row>
    <row r="124" spans="1:29" s="458" customFormat="1" ht="12.75">
      <c r="A124" s="636" t="s">
        <v>294</v>
      </c>
      <c r="B124" s="637"/>
      <c r="C124" s="637"/>
      <c r="D124" s="637"/>
      <c r="E124" s="637"/>
      <c r="F124" s="637"/>
      <c r="G124" s="637"/>
      <c r="H124" s="637"/>
      <c r="I124" s="637"/>
      <c r="J124" s="637"/>
    </row>
    <row r="125" spans="1:29" s="458" customFormat="1" ht="12.75">
      <c r="A125" s="529" t="s">
        <v>295</v>
      </c>
      <c r="B125" s="530"/>
      <c r="C125" s="530"/>
      <c r="D125" s="530"/>
      <c r="E125" s="530"/>
      <c r="F125" s="530"/>
      <c r="G125" s="530"/>
      <c r="H125" s="530"/>
      <c r="I125" s="530"/>
      <c r="J125" s="534"/>
    </row>
    <row r="126" spans="1:29" s="458" customFormat="1" ht="12.75">
      <c r="A126" s="531"/>
      <c r="J126" s="535"/>
    </row>
    <row r="127" spans="1:29" s="458" customFormat="1" ht="12.75">
      <c r="A127" s="531"/>
      <c r="J127" s="535"/>
    </row>
    <row r="128" spans="1:29" s="458" customFormat="1" ht="12.75">
      <c r="A128" s="531"/>
      <c r="J128" s="535"/>
    </row>
    <row r="129" spans="1:10" s="458" customFormat="1" ht="12.75">
      <c r="A129" s="531"/>
      <c r="J129" s="535"/>
    </row>
    <row r="130" spans="1:10" s="458" customFormat="1" ht="12.75">
      <c r="A130" s="531"/>
      <c r="J130" s="535"/>
    </row>
    <row r="131" spans="1:10" s="458" customFormat="1" ht="12.75">
      <c r="A131" s="531"/>
      <c r="J131" s="535"/>
    </row>
    <row r="132" spans="1:10" s="458" customFormat="1" ht="12.75">
      <c r="A132" s="531"/>
      <c r="J132" s="535"/>
    </row>
    <row r="133" spans="1:10" s="458" customFormat="1" ht="12.75">
      <c r="A133" s="531"/>
      <c r="J133" s="535"/>
    </row>
    <row r="134" spans="1:10" s="458" customFormat="1" ht="12.75">
      <c r="A134" s="531"/>
      <c r="J134" s="535"/>
    </row>
    <row r="135" spans="1:10" s="458" customFormat="1" ht="12.75">
      <c r="A135" s="531"/>
      <c r="J135" s="535"/>
    </row>
    <row r="136" spans="1:10" s="458" customFormat="1" ht="12.75">
      <c r="A136" s="531"/>
      <c r="H136" s="536" t="s">
        <v>296</v>
      </c>
      <c r="J136" s="535"/>
    </row>
    <row r="137" spans="1:10" s="458" customFormat="1" ht="12.75">
      <c r="A137" s="531"/>
      <c r="J137" s="535"/>
    </row>
    <row r="138" spans="1:10" s="458" customFormat="1" ht="12.75">
      <c r="A138" s="531"/>
      <c r="H138" s="537" t="s">
        <v>297</v>
      </c>
      <c r="J138" s="535"/>
    </row>
    <row r="139" spans="1:10" s="458" customFormat="1" ht="12.75">
      <c r="A139" s="531"/>
      <c r="H139" s="538"/>
      <c r="J139" s="535"/>
    </row>
    <row r="140" spans="1:10" s="458" customFormat="1" ht="12.75">
      <c r="A140" s="531"/>
      <c r="F140" s="539" t="s">
        <v>298</v>
      </c>
      <c r="H140" s="540" t="s">
        <v>299</v>
      </c>
      <c r="J140" s="535"/>
    </row>
    <row r="141" spans="1:10" s="458" customFormat="1" ht="12.75">
      <c r="A141" s="531"/>
      <c r="F141" s="540" t="s">
        <v>300</v>
      </c>
      <c r="H141" s="540" t="s">
        <v>300</v>
      </c>
      <c r="J141" s="535"/>
    </row>
    <row r="142" spans="1:10" s="458" customFormat="1" ht="12.75">
      <c r="A142" s="531"/>
      <c r="F142" s="539" t="s">
        <v>301</v>
      </c>
      <c r="H142" s="539" t="s">
        <v>301</v>
      </c>
      <c r="J142" s="535"/>
    </row>
    <row r="143" spans="1:10" s="458" customFormat="1" ht="12.75">
      <c r="A143" s="541"/>
      <c r="B143" s="542"/>
      <c r="C143" s="542"/>
      <c r="D143" s="542"/>
      <c r="E143" s="542"/>
      <c r="F143" s="542"/>
      <c r="G143" s="542"/>
      <c r="H143" s="542"/>
      <c r="I143" s="542"/>
      <c r="J143" s="544"/>
    </row>
    <row r="144" spans="1:10" s="458" customFormat="1" ht="12.75">
      <c r="A144" s="529" t="s">
        <v>302</v>
      </c>
      <c r="B144" s="530"/>
      <c r="C144" s="530"/>
      <c r="D144" s="530"/>
      <c r="E144" s="530"/>
      <c r="F144" s="530"/>
      <c r="G144" s="530"/>
      <c r="H144" s="530"/>
      <c r="I144" s="530"/>
      <c r="J144" s="534"/>
    </row>
    <row r="145" spans="1:10" s="458" customFormat="1" ht="12.75">
      <c r="A145" s="531"/>
      <c r="J145" s="535"/>
    </row>
    <row r="146" spans="1:10" s="458" customFormat="1" ht="12.75">
      <c r="A146" s="531"/>
      <c r="J146" s="535"/>
    </row>
    <row r="147" spans="1:10" s="458" customFormat="1" ht="12.75">
      <c r="A147" s="531"/>
      <c r="J147" s="535"/>
    </row>
    <row r="148" spans="1:10" s="458" customFormat="1" ht="12.75">
      <c r="A148" s="531"/>
      <c r="J148" s="535"/>
    </row>
    <row r="149" spans="1:10" s="458" customFormat="1" ht="12.75">
      <c r="A149" s="531"/>
      <c r="J149" s="535"/>
    </row>
    <row r="150" spans="1:10" s="458" customFormat="1" ht="12.75">
      <c r="A150" s="531"/>
      <c r="J150" s="535"/>
    </row>
    <row r="151" spans="1:10" s="458" customFormat="1" ht="12.75">
      <c r="A151" s="531"/>
      <c r="J151" s="535"/>
    </row>
    <row r="152" spans="1:10" s="458" customFormat="1" ht="12.75">
      <c r="A152" s="531"/>
      <c r="J152" s="535"/>
    </row>
    <row r="153" spans="1:10" s="458" customFormat="1" ht="12.75">
      <c r="A153" s="531"/>
      <c r="J153" s="535"/>
    </row>
    <row r="154" spans="1:10" s="458" customFormat="1" ht="12.75">
      <c r="A154" s="531"/>
      <c r="J154" s="535"/>
    </row>
    <row r="155" spans="1:10" s="458" customFormat="1" ht="12.75">
      <c r="A155" s="531"/>
      <c r="J155" s="535"/>
    </row>
    <row r="156" spans="1:10" s="458" customFormat="1" ht="12.75">
      <c r="A156" s="531"/>
      <c r="H156" s="536" t="s">
        <v>296</v>
      </c>
      <c r="J156" s="535"/>
    </row>
    <row r="157" spans="1:10" s="458" customFormat="1" ht="12.75">
      <c r="A157" s="531"/>
      <c r="J157" s="535"/>
    </row>
    <row r="158" spans="1:10" s="458" customFormat="1" ht="12.75">
      <c r="A158" s="531"/>
      <c r="H158" s="537" t="s">
        <v>297</v>
      </c>
      <c r="J158" s="535"/>
    </row>
    <row r="159" spans="1:10" s="458" customFormat="1" ht="12.75">
      <c r="A159" s="531"/>
      <c r="H159" s="538"/>
      <c r="J159" s="535"/>
    </row>
    <row r="160" spans="1:10" s="458" customFormat="1" ht="12.75">
      <c r="A160" s="531"/>
      <c r="F160" s="539" t="s">
        <v>298</v>
      </c>
      <c r="H160" s="540" t="s">
        <v>299</v>
      </c>
      <c r="J160" s="535"/>
    </row>
    <row r="161" spans="1:29" s="458" customFormat="1" ht="12.75">
      <c r="A161" s="531"/>
      <c r="F161" s="540" t="s">
        <v>300</v>
      </c>
      <c r="H161" s="540" t="s">
        <v>300</v>
      </c>
      <c r="J161" s="535"/>
    </row>
    <row r="162" spans="1:29" s="458" customFormat="1" ht="12.75">
      <c r="A162" s="531"/>
      <c r="F162" s="539" t="s">
        <v>301</v>
      </c>
      <c r="H162" s="539" t="s">
        <v>301</v>
      </c>
      <c r="J162" s="535"/>
      <c r="N162" s="108"/>
      <c r="O162" s="108"/>
      <c r="P162" s="108"/>
      <c r="Q162" s="108"/>
      <c r="R162" s="108"/>
      <c r="S162" s="108"/>
      <c r="T162" s="108"/>
      <c r="U162" s="108"/>
      <c r="V162" s="108"/>
      <c r="W162" s="108"/>
      <c r="X162" s="108"/>
      <c r="Y162" s="108"/>
      <c r="Z162" s="108"/>
      <c r="AA162" s="108"/>
      <c r="AB162" s="108"/>
      <c r="AC162" s="108"/>
    </row>
    <row r="163" spans="1:29" s="108" customFormat="1" ht="12.75">
      <c r="A163" s="541"/>
      <c r="B163" s="542"/>
      <c r="C163" s="542"/>
      <c r="D163" s="542"/>
      <c r="E163" s="542"/>
      <c r="F163" s="542"/>
      <c r="G163" s="542"/>
      <c r="H163" s="542"/>
      <c r="I163" s="545"/>
      <c r="J163" s="544"/>
    </row>
    <row r="164" spans="1:29" s="108" customFormat="1" ht="12.75">
      <c r="A164" s="543" t="s">
        <v>303</v>
      </c>
    </row>
    <row r="165" spans="1:29" s="108" customFormat="1" ht="12.75">
      <c r="A165" s="108" t="s">
        <v>304</v>
      </c>
    </row>
    <row r="166" spans="1:29" s="108" customFormat="1" ht="12.75">
      <c r="A166" s="108" t="s">
        <v>305</v>
      </c>
    </row>
    <row r="167" spans="1:29" s="108" customFormat="1">
      <c r="A167" s="108" t="s">
        <v>306</v>
      </c>
      <c r="N167" s="161"/>
      <c r="O167" s="161"/>
      <c r="P167" s="161"/>
      <c r="Q167" s="161"/>
      <c r="R167" s="161"/>
      <c r="S167" s="161"/>
      <c r="T167" s="161"/>
      <c r="U167" s="161"/>
      <c r="V167" s="161"/>
      <c r="W167" s="161"/>
      <c r="X167" s="161"/>
      <c r="Y167" s="161"/>
      <c r="Z167" s="161"/>
      <c r="AA167" s="459"/>
      <c r="AB167" s="459"/>
      <c r="AC167" s="459"/>
    </row>
  </sheetData>
  <mergeCells count="185">
    <mergeCell ref="A2:J2"/>
    <mergeCell ref="H3:J3"/>
    <mergeCell ref="Q10:Z10"/>
    <mergeCell ref="R11:S11"/>
    <mergeCell ref="D12:E12"/>
    <mergeCell ref="F12:G12"/>
    <mergeCell ref="T12:U12"/>
    <mergeCell ref="Q13:T13"/>
    <mergeCell ref="U13:W13"/>
    <mergeCell ref="Y13:Z13"/>
    <mergeCell ref="Q14:R14"/>
    <mergeCell ref="S14:T14"/>
    <mergeCell ref="Q15:R15"/>
    <mergeCell ref="S15:T15"/>
    <mergeCell ref="R16:S16"/>
    <mergeCell ref="T16:U16"/>
    <mergeCell ref="W16:X16"/>
    <mergeCell ref="Y16:Z16"/>
    <mergeCell ref="B17:C17"/>
    <mergeCell ref="R17:S17"/>
    <mergeCell ref="T17:U17"/>
    <mergeCell ref="W17:X17"/>
    <mergeCell ref="Y17:Z17"/>
    <mergeCell ref="B18:C18"/>
    <mergeCell ref="R18:S18"/>
    <mergeCell ref="T18:U18"/>
    <mergeCell ref="W18:X18"/>
    <mergeCell ref="Y18:Z18"/>
    <mergeCell ref="B19:C19"/>
    <mergeCell ref="S19:T19"/>
    <mergeCell ref="Q20:R20"/>
    <mergeCell ref="S20:T20"/>
    <mergeCell ref="U20:V20"/>
    <mergeCell ref="W20:X20"/>
    <mergeCell ref="Y20:Z20"/>
    <mergeCell ref="A21:J21"/>
    <mergeCell ref="Q21:R21"/>
    <mergeCell ref="S21:T21"/>
    <mergeCell ref="U21:V21"/>
    <mergeCell ref="W21:X21"/>
    <mergeCell ref="Y21:Z21"/>
    <mergeCell ref="Q22:T22"/>
    <mergeCell ref="U22:V22"/>
    <mergeCell ref="W22:X22"/>
    <mergeCell ref="Y22:Z22"/>
    <mergeCell ref="Q23:R23"/>
    <mergeCell ref="S23:T23"/>
    <mergeCell ref="V23:W23"/>
    <mergeCell ref="X23:Y23"/>
    <mergeCell ref="D24:E24"/>
    <mergeCell ref="Q24:Z24"/>
    <mergeCell ref="D25:E25"/>
    <mergeCell ref="A29:D29"/>
    <mergeCell ref="E29:G29"/>
    <mergeCell ref="I29:J29"/>
    <mergeCell ref="A30:D30"/>
    <mergeCell ref="E30:G30"/>
    <mergeCell ref="I30:J30"/>
    <mergeCell ref="A31:D31"/>
    <mergeCell ref="E31:G31"/>
    <mergeCell ref="I31:J31"/>
    <mergeCell ref="A35:B35"/>
    <mergeCell ref="C35:D35"/>
    <mergeCell ref="A36:B36"/>
    <mergeCell ref="C36:D36"/>
    <mergeCell ref="A37:B37"/>
    <mergeCell ref="C37:D37"/>
    <mergeCell ref="A42:B42"/>
    <mergeCell ref="C42:D42"/>
    <mergeCell ref="A43:B43"/>
    <mergeCell ref="C43:D43"/>
    <mergeCell ref="A44:B44"/>
    <mergeCell ref="C44:D44"/>
    <mergeCell ref="B50:C50"/>
    <mergeCell ref="D50:E50"/>
    <mergeCell ref="G50:H50"/>
    <mergeCell ref="I50:J50"/>
    <mergeCell ref="B51:C51"/>
    <mergeCell ref="D51:E51"/>
    <mergeCell ref="G51:H51"/>
    <mergeCell ref="I51:J51"/>
    <mergeCell ref="B52:C52"/>
    <mergeCell ref="D52:E52"/>
    <mergeCell ref="G52:H52"/>
    <mergeCell ref="I52:J52"/>
    <mergeCell ref="B57:C57"/>
    <mergeCell ref="D57:E57"/>
    <mergeCell ref="G57:H57"/>
    <mergeCell ref="I57:J57"/>
    <mergeCell ref="B58:C58"/>
    <mergeCell ref="D58:E58"/>
    <mergeCell ref="G58:H58"/>
    <mergeCell ref="I58:J58"/>
    <mergeCell ref="B59:C59"/>
    <mergeCell ref="D59:E59"/>
    <mergeCell ref="G59:H59"/>
    <mergeCell ref="I59:J59"/>
    <mergeCell ref="B63:C63"/>
    <mergeCell ref="D63:E63"/>
    <mergeCell ref="G63:H63"/>
    <mergeCell ref="I63:J63"/>
    <mergeCell ref="B64:C64"/>
    <mergeCell ref="D64:E64"/>
    <mergeCell ref="G64:H64"/>
    <mergeCell ref="I64:J64"/>
    <mergeCell ref="B65:C65"/>
    <mergeCell ref="D65:E65"/>
    <mergeCell ref="G65:H65"/>
    <mergeCell ref="I65:J65"/>
    <mergeCell ref="C69:D69"/>
    <mergeCell ref="C70:D70"/>
    <mergeCell ref="C71:D71"/>
    <mergeCell ref="A75:B75"/>
    <mergeCell ref="C75:D75"/>
    <mergeCell ref="E75:F75"/>
    <mergeCell ref="G75:H75"/>
    <mergeCell ref="I75:J75"/>
    <mergeCell ref="A76:B76"/>
    <mergeCell ref="C76:D76"/>
    <mergeCell ref="E76:F76"/>
    <mergeCell ref="G76:H76"/>
    <mergeCell ref="I76:J76"/>
    <mergeCell ref="A77:B77"/>
    <mergeCell ref="C77:D77"/>
    <mergeCell ref="E77:F77"/>
    <mergeCell ref="G77:H77"/>
    <mergeCell ref="I77:J77"/>
    <mergeCell ref="A81:B81"/>
    <mergeCell ref="C81:D81"/>
    <mergeCell ref="E81:F81"/>
    <mergeCell ref="G81:H81"/>
    <mergeCell ref="I81:J81"/>
    <mergeCell ref="A82:B82"/>
    <mergeCell ref="C82:D82"/>
    <mergeCell ref="E82:F82"/>
    <mergeCell ref="G82:H82"/>
    <mergeCell ref="I82:J82"/>
    <mergeCell ref="A83:B83"/>
    <mergeCell ref="C83:D83"/>
    <mergeCell ref="E83:F83"/>
    <mergeCell ref="G83:H83"/>
    <mergeCell ref="I83:J83"/>
    <mergeCell ref="E94:F94"/>
    <mergeCell ref="G94:H94"/>
    <mergeCell ref="I94:J94"/>
    <mergeCell ref="A95:D95"/>
    <mergeCell ref="E95:F95"/>
    <mergeCell ref="G95:H95"/>
    <mergeCell ref="I95:J95"/>
    <mergeCell ref="A87:B87"/>
    <mergeCell ref="C87:D87"/>
    <mergeCell ref="F87:G87"/>
    <mergeCell ref="I87:J87"/>
    <mergeCell ref="A88:B88"/>
    <mergeCell ref="C88:D88"/>
    <mergeCell ref="F88:G88"/>
    <mergeCell ref="I88:J88"/>
    <mergeCell ref="A89:B89"/>
    <mergeCell ref="C89:D89"/>
    <mergeCell ref="F89:G89"/>
    <mergeCell ref="I89:J89"/>
    <mergeCell ref="E116:J116"/>
    <mergeCell ref="H119:J119"/>
    <mergeCell ref="A124:J124"/>
    <mergeCell ref="A107:J108"/>
    <mergeCell ref="A54:J55"/>
    <mergeCell ref="A5:J9"/>
    <mergeCell ref="A13:J14"/>
    <mergeCell ref="A99:B99"/>
    <mergeCell ref="C99:D99"/>
    <mergeCell ref="F99:G99"/>
    <mergeCell ref="H99:I99"/>
    <mergeCell ref="A100:B100"/>
    <mergeCell ref="C100:D100"/>
    <mergeCell ref="F100:G100"/>
    <mergeCell ref="H100:I100"/>
    <mergeCell ref="A101:B101"/>
    <mergeCell ref="C101:D101"/>
    <mergeCell ref="F101:G101"/>
    <mergeCell ref="H101:I101"/>
    <mergeCell ref="A93:D93"/>
    <mergeCell ref="E93:F93"/>
    <mergeCell ref="G93:H93"/>
    <mergeCell ref="I93:J93"/>
    <mergeCell ref="A94:D94"/>
  </mergeCells>
  <phoneticPr fontId="98" type="noConversion"/>
  <pageMargins left="0.7" right="0.7" top="0.75" bottom="0.75" header="0.3" footer="0.3"/>
  <pageSetup paperSize="9" scale="77" orientation="portrait" r:id="rId1"/>
  <rowBreaks count="3" manualBreakCount="3">
    <brk id="33" max="9" man="1"/>
    <brk id="73" max="9" man="1"/>
    <brk id="111" max="9" man="1"/>
  </row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Y173"/>
  <sheetViews>
    <sheetView view="pageBreakPreview" zoomScale="70" zoomScaleNormal="100" zoomScaleSheetLayoutView="70" workbookViewId="0">
      <selection activeCell="E59" sqref="E59:F59"/>
    </sheetView>
  </sheetViews>
  <sheetFormatPr defaultColWidth="7.59765625" defaultRowHeight="12.75"/>
  <cols>
    <col min="1" max="1" width="16.46484375" style="413" customWidth="1"/>
    <col min="2" max="2" width="6.73046875" style="413" customWidth="1"/>
    <col min="3" max="4" width="9.1328125" style="413" customWidth="1"/>
    <col min="5" max="5" width="8.06640625" style="413" customWidth="1"/>
    <col min="6" max="6" width="8.59765625" style="413" customWidth="1"/>
    <col min="7" max="7" width="15" style="413" customWidth="1"/>
    <col min="8" max="8" width="12" style="413" customWidth="1"/>
    <col min="9" max="9" width="15.265625" style="413" customWidth="1"/>
    <col min="10" max="10" width="12.796875" style="413" customWidth="1"/>
    <col min="11" max="11" width="12.3984375" style="413" customWidth="1"/>
    <col min="12" max="12" width="7.59765625" style="413"/>
    <col min="13" max="13" width="14.59765625" style="413" customWidth="1"/>
    <col min="14" max="255" width="7.59765625" style="413"/>
    <col min="256" max="256" width="10.796875" style="413" customWidth="1"/>
    <col min="257" max="257" width="6.73046875" style="413" customWidth="1"/>
    <col min="258" max="258" width="11.59765625" style="413" customWidth="1"/>
    <col min="259" max="259" width="9.1328125" style="413" customWidth="1"/>
    <col min="260" max="260" width="8.06640625" style="413" customWidth="1"/>
    <col min="261" max="261" width="8.59765625" style="413" customWidth="1"/>
    <col min="262" max="262" width="15" style="413" customWidth="1"/>
    <col min="263" max="263" width="12" style="413" customWidth="1"/>
    <col min="264" max="264" width="14.73046875" style="413" customWidth="1"/>
    <col min="265" max="265" width="12.796875" style="413" customWidth="1"/>
    <col min="266" max="266" width="7.59765625" style="413"/>
    <col min="267" max="267" width="12.3984375" style="413" customWidth="1"/>
    <col min="268" max="511" width="7.59765625" style="413"/>
    <col min="512" max="512" width="10.796875" style="413" customWidth="1"/>
    <col min="513" max="513" width="6.73046875" style="413" customWidth="1"/>
    <col min="514" max="514" width="11.59765625" style="413" customWidth="1"/>
    <col min="515" max="515" width="9.1328125" style="413" customWidth="1"/>
    <col min="516" max="516" width="8.06640625" style="413" customWidth="1"/>
    <col min="517" max="517" width="8.59765625" style="413" customWidth="1"/>
    <col min="518" max="518" width="15" style="413" customWidth="1"/>
    <col min="519" max="519" width="12" style="413" customWidth="1"/>
    <col min="520" max="520" width="14.73046875" style="413" customWidth="1"/>
    <col min="521" max="521" width="12.796875" style="413" customWidth="1"/>
    <col min="522" max="522" width="7.59765625" style="413"/>
    <col min="523" max="523" width="12.3984375" style="413" customWidth="1"/>
    <col min="524" max="767" width="7.59765625" style="413"/>
    <col min="768" max="768" width="10.796875" style="413" customWidth="1"/>
    <col min="769" max="769" width="6.73046875" style="413" customWidth="1"/>
    <col min="770" max="770" width="11.59765625" style="413" customWidth="1"/>
    <col min="771" max="771" width="9.1328125" style="413" customWidth="1"/>
    <col min="772" max="772" width="8.06640625" style="413" customWidth="1"/>
    <col min="773" max="773" width="8.59765625" style="413" customWidth="1"/>
    <col min="774" max="774" width="15" style="413" customWidth="1"/>
    <col min="775" max="775" width="12" style="413" customWidth="1"/>
    <col min="776" max="776" width="14.73046875" style="413" customWidth="1"/>
    <col min="777" max="777" width="12.796875" style="413" customWidth="1"/>
    <col min="778" max="778" width="7.59765625" style="413"/>
    <col min="779" max="779" width="12.3984375" style="413" customWidth="1"/>
    <col min="780" max="1023" width="7.59765625" style="413"/>
    <col min="1024" max="1024" width="10.796875" style="413" customWidth="1"/>
    <col min="1025" max="1025" width="6.73046875" style="413" customWidth="1"/>
    <col min="1026" max="1026" width="11.59765625" style="413" customWidth="1"/>
    <col min="1027" max="1027" width="9.1328125" style="413" customWidth="1"/>
    <col min="1028" max="1028" width="8.06640625" style="413" customWidth="1"/>
    <col min="1029" max="1029" width="8.59765625" style="413" customWidth="1"/>
    <col min="1030" max="1030" width="15" style="413" customWidth="1"/>
    <col min="1031" max="1031" width="12" style="413" customWidth="1"/>
    <col min="1032" max="1032" width="14.73046875" style="413" customWidth="1"/>
    <col min="1033" max="1033" width="12.796875" style="413" customWidth="1"/>
    <col min="1034" max="1034" width="7.59765625" style="413"/>
    <col min="1035" max="1035" width="12.3984375" style="413" customWidth="1"/>
    <col min="1036" max="1279" width="7.59765625" style="413"/>
    <col min="1280" max="1280" width="10.796875" style="413" customWidth="1"/>
    <col min="1281" max="1281" width="6.73046875" style="413" customWidth="1"/>
    <col min="1282" max="1282" width="11.59765625" style="413" customWidth="1"/>
    <col min="1283" max="1283" width="9.1328125" style="413" customWidth="1"/>
    <col min="1284" max="1284" width="8.06640625" style="413" customWidth="1"/>
    <col min="1285" max="1285" width="8.59765625" style="413" customWidth="1"/>
    <col min="1286" max="1286" width="15" style="413" customWidth="1"/>
    <col min="1287" max="1287" width="12" style="413" customWidth="1"/>
    <col min="1288" max="1288" width="14.73046875" style="413" customWidth="1"/>
    <col min="1289" max="1289" width="12.796875" style="413" customWidth="1"/>
    <col min="1290" max="1290" width="7.59765625" style="413"/>
    <col min="1291" max="1291" width="12.3984375" style="413" customWidth="1"/>
    <col min="1292" max="1535" width="7.59765625" style="413"/>
    <col min="1536" max="1536" width="10.796875" style="413" customWidth="1"/>
    <col min="1537" max="1537" width="6.73046875" style="413" customWidth="1"/>
    <col min="1538" max="1538" width="11.59765625" style="413" customWidth="1"/>
    <col min="1539" max="1539" width="9.1328125" style="413" customWidth="1"/>
    <col min="1540" max="1540" width="8.06640625" style="413" customWidth="1"/>
    <col min="1541" max="1541" width="8.59765625" style="413" customWidth="1"/>
    <col min="1542" max="1542" width="15" style="413" customWidth="1"/>
    <col min="1543" max="1543" width="12" style="413" customWidth="1"/>
    <col min="1544" max="1544" width="14.73046875" style="413" customWidth="1"/>
    <col min="1545" max="1545" width="12.796875" style="413" customWidth="1"/>
    <col min="1546" max="1546" width="7.59765625" style="413"/>
    <col min="1547" max="1547" width="12.3984375" style="413" customWidth="1"/>
    <col min="1548" max="1791" width="7.59765625" style="413"/>
    <col min="1792" max="1792" width="10.796875" style="413" customWidth="1"/>
    <col min="1793" max="1793" width="6.73046875" style="413" customWidth="1"/>
    <col min="1794" max="1794" width="11.59765625" style="413" customWidth="1"/>
    <col min="1795" max="1795" width="9.1328125" style="413" customWidth="1"/>
    <col min="1796" max="1796" width="8.06640625" style="413" customWidth="1"/>
    <col min="1797" max="1797" width="8.59765625" style="413" customWidth="1"/>
    <col min="1798" max="1798" width="15" style="413" customWidth="1"/>
    <col min="1799" max="1799" width="12" style="413" customWidth="1"/>
    <col min="1800" max="1800" width="14.73046875" style="413" customWidth="1"/>
    <col min="1801" max="1801" width="12.796875" style="413" customWidth="1"/>
    <col min="1802" max="1802" width="7.59765625" style="413"/>
    <col min="1803" max="1803" width="12.3984375" style="413" customWidth="1"/>
    <col min="1804" max="2047" width="7.59765625" style="413"/>
    <col min="2048" max="2048" width="10.796875" style="413" customWidth="1"/>
    <col min="2049" max="2049" width="6.73046875" style="413" customWidth="1"/>
    <col min="2050" max="2050" width="11.59765625" style="413" customWidth="1"/>
    <col min="2051" max="2051" width="9.1328125" style="413" customWidth="1"/>
    <col min="2052" max="2052" width="8.06640625" style="413" customWidth="1"/>
    <col min="2053" max="2053" width="8.59765625" style="413" customWidth="1"/>
    <col min="2054" max="2054" width="15" style="413" customWidth="1"/>
    <col min="2055" max="2055" width="12" style="413" customWidth="1"/>
    <col min="2056" max="2056" width="14.73046875" style="413" customWidth="1"/>
    <col min="2057" max="2057" width="12.796875" style="413" customWidth="1"/>
    <col min="2058" max="2058" width="7.59765625" style="413"/>
    <col min="2059" max="2059" width="12.3984375" style="413" customWidth="1"/>
    <col min="2060" max="2303" width="7.59765625" style="413"/>
    <col min="2304" max="2304" width="10.796875" style="413" customWidth="1"/>
    <col min="2305" max="2305" width="6.73046875" style="413" customWidth="1"/>
    <col min="2306" max="2306" width="11.59765625" style="413" customWidth="1"/>
    <col min="2307" max="2307" width="9.1328125" style="413" customWidth="1"/>
    <col min="2308" max="2308" width="8.06640625" style="413" customWidth="1"/>
    <col min="2309" max="2309" width="8.59765625" style="413" customWidth="1"/>
    <col min="2310" max="2310" width="15" style="413" customWidth="1"/>
    <col min="2311" max="2311" width="12" style="413" customWidth="1"/>
    <col min="2312" max="2312" width="14.73046875" style="413" customWidth="1"/>
    <col min="2313" max="2313" width="12.796875" style="413" customWidth="1"/>
    <col min="2314" max="2314" width="7.59765625" style="413"/>
    <col min="2315" max="2315" width="12.3984375" style="413" customWidth="1"/>
    <col min="2316" max="2559" width="7.59765625" style="413"/>
    <col min="2560" max="2560" width="10.796875" style="413" customWidth="1"/>
    <col min="2561" max="2561" width="6.73046875" style="413" customWidth="1"/>
    <col min="2562" max="2562" width="11.59765625" style="413" customWidth="1"/>
    <col min="2563" max="2563" width="9.1328125" style="413" customWidth="1"/>
    <col min="2564" max="2564" width="8.06640625" style="413" customWidth="1"/>
    <col min="2565" max="2565" width="8.59765625" style="413" customWidth="1"/>
    <col min="2566" max="2566" width="15" style="413" customWidth="1"/>
    <col min="2567" max="2567" width="12" style="413" customWidth="1"/>
    <col min="2568" max="2568" width="14.73046875" style="413" customWidth="1"/>
    <col min="2569" max="2569" width="12.796875" style="413" customWidth="1"/>
    <col min="2570" max="2570" width="7.59765625" style="413"/>
    <col min="2571" max="2571" width="12.3984375" style="413" customWidth="1"/>
    <col min="2572" max="2815" width="7.59765625" style="413"/>
    <col min="2816" max="2816" width="10.796875" style="413" customWidth="1"/>
    <col min="2817" max="2817" width="6.73046875" style="413" customWidth="1"/>
    <col min="2818" max="2818" width="11.59765625" style="413" customWidth="1"/>
    <col min="2819" max="2819" width="9.1328125" style="413" customWidth="1"/>
    <col min="2820" max="2820" width="8.06640625" style="413" customWidth="1"/>
    <col min="2821" max="2821" width="8.59765625" style="413" customWidth="1"/>
    <col min="2822" max="2822" width="15" style="413" customWidth="1"/>
    <col min="2823" max="2823" width="12" style="413" customWidth="1"/>
    <col min="2824" max="2824" width="14.73046875" style="413" customWidth="1"/>
    <col min="2825" max="2825" width="12.796875" style="413" customWidth="1"/>
    <col min="2826" max="2826" width="7.59765625" style="413"/>
    <col min="2827" max="2827" width="12.3984375" style="413" customWidth="1"/>
    <col min="2828" max="3071" width="7.59765625" style="413"/>
    <col min="3072" max="3072" width="10.796875" style="413" customWidth="1"/>
    <col min="3073" max="3073" width="6.73046875" style="413" customWidth="1"/>
    <col min="3074" max="3074" width="11.59765625" style="413" customWidth="1"/>
    <col min="3075" max="3075" width="9.1328125" style="413" customWidth="1"/>
    <col min="3076" max="3076" width="8.06640625" style="413" customWidth="1"/>
    <col min="3077" max="3077" width="8.59765625" style="413" customWidth="1"/>
    <col min="3078" max="3078" width="15" style="413" customWidth="1"/>
    <col min="3079" max="3079" width="12" style="413" customWidth="1"/>
    <col min="3080" max="3080" width="14.73046875" style="413" customWidth="1"/>
    <col min="3081" max="3081" width="12.796875" style="413" customWidth="1"/>
    <col min="3082" max="3082" width="7.59765625" style="413"/>
    <col min="3083" max="3083" width="12.3984375" style="413" customWidth="1"/>
    <col min="3084" max="3327" width="7.59765625" style="413"/>
    <col min="3328" max="3328" width="10.796875" style="413" customWidth="1"/>
    <col min="3329" max="3329" width="6.73046875" style="413" customWidth="1"/>
    <col min="3330" max="3330" width="11.59765625" style="413" customWidth="1"/>
    <col min="3331" max="3331" width="9.1328125" style="413" customWidth="1"/>
    <col min="3332" max="3332" width="8.06640625" style="413" customWidth="1"/>
    <col min="3333" max="3333" width="8.59765625" style="413" customWidth="1"/>
    <col min="3334" max="3334" width="15" style="413" customWidth="1"/>
    <col min="3335" max="3335" width="12" style="413" customWidth="1"/>
    <col min="3336" max="3336" width="14.73046875" style="413" customWidth="1"/>
    <col min="3337" max="3337" width="12.796875" style="413" customWidth="1"/>
    <col min="3338" max="3338" width="7.59765625" style="413"/>
    <col min="3339" max="3339" width="12.3984375" style="413" customWidth="1"/>
    <col min="3340" max="3583" width="7.59765625" style="413"/>
    <col min="3584" max="3584" width="10.796875" style="413" customWidth="1"/>
    <col min="3585" max="3585" width="6.73046875" style="413" customWidth="1"/>
    <col min="3586" max="3586" width="11.59765625" style="413" customWidth="1"/>
    <col min="3587" max="3587" width="9.1328125" style="413" customWidth="1"/>
    <col min="3588" max="3588" width="8.06640625" style="413" customWidth="1"/>
    <col min="3589" max="3589" width="8.59765625" style="413" customWidth="1"/>
    <col min="3590" max="3590" width="15" style="413" customWidth="1"/>
    <col min="3591" max="3591" width="12" style="413" customWidth="1"/>
    <col min="3592" max="3592" width="14.73046875" style="413" customWidth="1"/>
    <col min="3593" max="3593" width="12.796875" style="413" customWidth="1"/>
    <col min="3594" max="3594" width="7.59765625" style="413"/>
    <col min="3595" max="3595" width="12.3984375" style="413" customWidth="1"/>
    <col min="3596" max="3839" width="7.59765625" style="413"/>
    <col min="3840" max="3840" width="10.796875" style="413" customWidth="1"/>
    <col min="3841" max="3841" width="6.73046875" style="413" customWidth="1"/>
    <col min="3842" max="3842" width="11.59765625" style="413" customWidth="1"/>
    <col min="3843" max="3843" width="9.1328125" style="413" customWidth="1"/>
    <col min="3844" max="3844" width="8.06640625" style="413" customWidth="1"/>
    <col min="3845" max="3845" width="8.59765625" style="413" customWidth="1"/>
    <col min="3846" max="3846" width="15" style="413" customWidth="1"/>
    <col min="3847" max="3847" width="12" style="413" customWidth="1"/>
    <col min="3848" max="3848" width="14.73046875" style="413" customWidth="1"/>
    <col min="3849" max="3849" width="12.796875" style="413" customWidth="1"/>
    <col min="3850" max="3850" width="7.59765625" style="413"/>
    <col min="3851" max="3851" width="12.3984375" style="413" customWidth="1"/>
    <col min="3852" max="4095" width="7.59765625" style="413"/>
    <col min="4096" max="4096" width="10.796875" style="413" customWidth="1"/>
    <col min="4097" max="4097" width="6.73046875" style="413" customWidth="1"/>
    <col min="4098" max="4098" width="11.59765625" style="413" customWidth="1"/>
    <col min="4099" max="4099" width="9.1328125" style="413" customWidth="1"/>
    <col min="4100" max="4100" width="8.06640625" style="413" customWidth="1"/>
    <col min="4101" max="4101" width="8.59765625" style="413" customWidth="1"/>
    <col min="4102" max="4102" width="15" style="413" customWidth="1"/>
    <col min="4103" max="4103" width="12" style="413" customWidth="1"/>
    <col min="4104" max="4104" width="14.73046875" style="413" customWidth="1"/>
    <col min="4105" max="4105" width="12.796875" style="413" customWidth="1"/>
    <col min="4106" max="4106" width="7.59765625" style="413"/>
    <col min="4107" max="4107" width="12.3984375" style="413" customWidth="1"/>
    <col min="4108" max="4351" width="7.59765625" style="413"/>
    <col min="4352" max="4352" width="10.796875" style="413" customWidth="1"/>
    <col min="4353" max="4353" width="6.73046875" style="413" customWidth="1"/>
    <col min="4354" max="4354" width="11.59765625" style="413" customWidth="1"/>
    <col min="4355" max="4355" width="9.1328125" style="413" customWidth="1"/>
    <col min="4356" max="4356" width="8.06640625" style="413" customWidth="1"/>
    <col min="4357" max="4357" width="8.59765625" style="413" customWidth="1"/>
    <col min="4358" max="4358" width="15" style="413" customWidth="1"/>
    <col min="4359" max="4359" width="12" style="413" customWidth="1"/>
    <col min="4360" max="4360" width="14.73046875" style="413" customWidth="1"/>
    <col min="4361" max="4361" width="12.796875" style="413" customWidth="1"/>
    <col min="4362" max="4362" width="7.59765625" style="413"/>
    <col min="4363" max="4363" width="12.3984375" style="413" customWidth="1"/>
    <col min="4364" max="4607" width="7.59765625" style="413"/>
    <col min="4608" max="4608" width="10.796875" style="413" customWidth="1"/>
    <col min="4609" max="4609" width="6.73046875" style="413" customWidth="1"/>
    <col min="4610" max="4610" width="11.59765625" style="413" customWidth="1"/>
    <col min="4611" max="4611" width="9.1328125" style="413" customWidth="1"/>
    <col min="4612" max="4612" width="8.06640625" style="413" customWidth="1"/>
    <col min="4613" max="4613" width="8.59765625" style="413" customWidth="1"/>
    <col min="4614" max="4614" width="15" style="413" customWidth="1"/>
    <col min="4615" max="4615" width="12" style="413" customWidth="1"/>
    <col min="4616" max="4616" width="14.73046875" style="413" customWidth="1"/>
    <col min="4617" max="4617" width="12.796875" style="413" customWidth="1"/>
    <col min="4618" max="4618" width="7.59765625" style="413"/>
    <col min="4619" max="4619" width="12.3984375" style="413" customWidth="1"/>
    <col min="4620" max="4863" width="7.59765625" style="413"/>
    <col min="4864" max="4864" width="10.796875" style="413" customWidth="1"/>
    <col min="4865" max="4865" width="6.73046875" style="413" customWidth="1"/>
    <col min="4866" max="4866" width="11.59765625" style="413" customWidth="1"/>
    <col min="4867" max="4867" width="9.1328125" style="413" customWidth="1"/>
    <col min="4868" max="4868" width="8.06640625" style="413" customWidth="1"/>
    <col min="4869" max="4869" width="8.59765625" style="413" customWidth="1"/>
    <col min="4870" max="4870" width="15" style="413" customWidth="1"/>
    <col min="4871" max="4871" width="12" style="413" customWidth="1"/>
    <col min="4872" max="4872" width="14.73046875" style="413" customWidth="1"/>
    <col min="4873" max="4873" width="12.796875" style="413" customWidth="1"/>
    <col min="4874" max="4874" width="7.59765625" style="413"/>
    <col min="4875" max="4875" width="12.3984375" style="413" customWidth="1"/>
    <col min="4876" max="5119" width="7.59765625" style="413"/>
    <col min="5120" max="5120" width="10.796875" style="413" customWidth="1"/>
    <col min="5121" max="5121" width="6.73046875" style="413" customWidth="1"/>
    <col min="5122" max="5122" width="11.59765625" style="413" customWidth="1"/>
    <col min="5123" max="5123" width="9.1328125" style="413" customWidth="1"/>
    <col min="5124" max="5124" width="8.06640625" style="413" customWidth="1"/>
    <col min="5125" max="5125" width="8.59765625" style="413" customWidth="1"/>
    <col min="5126" max="5126" width="15" style="413" customWidth="1"/>
    <col min="5127" max="5127" width="12" style="413" customWidth="1"/>
    <col min="5128" max="5128" width="14.73046875" style="413" customWidth="1"/>
    <col min="5129" max="5129" width="12.796875" style="413" customWidth="1"/>
    <col min="5130" max="5130" width="7.59765625" style="413"/>
    <col min="5131" max="5131" width="12.3984375" style="413" customWidth="1"/>
    <col min="5132" max="5375" width="7.59765625" style="413"/>
    <col min="5376" max="5376" width="10.796875" style="413" customWidth="1"/>
    <col min="5377" max="5377" width="6.73046875" style="413" customWidth="1"/>
    <col min="5378" max="5378" width="11.59765625" style="413" customWidth="1"/>
    <col min="5379" max="5379" width="9.1328125" style="413" customWidth="1"/>
    <col min="5380" max="5380" width="8.06640625" style="413" customWidth="1"/>
    <col min="5381" max="5381" width="8.59765625" style="413" customWidth="1"/>
    <col min="5382" max="5382" width="15" style="413" customWidth="1"/>
    <col min="5383" max="5383" width="12" style="413" customWidth="1"/>
    <col min="5384" max="5384" width="14.73046875" style="413" customWidth="1"/>
    <col min="5385" max="5385" width="12.796875" style="413" customWidth="1"/>
    <col min="5386" max="5386" width="7.59765625" style="413"/>
    <col min="5387" max="5387" width="12.3984375" style="413" customWidth="1"/>
    <col min="5388" max="5631" width="7.59765625" style="413"/>
    <col min="5632" max="5632" width="10.796875" style="413" customWidth="1"/>
    <col min="5633" max="5633" width="6.73046875" style="413" customWidth="1"/>
    <col min="5634" max="5634" width="11.59765625" style="413" customWidth="1"/>
    <col min="5635" max="5635" width="9.1328125" style="413" customWidth="1"/>
    <col min="5636" max="5636" width="8.06640625" style="413" customWidth="1"/>
    <col min="5637" max="5637" width="8.59765625" style="413" customWidth="1"/>
    <col min="5638" max="5638" width="15" style="413" customWidth="1"/>
    <col min="5639" max="5639" width="12" style="413" customWidth="1"/>
    <col min="5640" max="5640" width="14.73046875" style="413" customWidth="1"/>
    <col min="5641" max="5641" width="12.796875" style="413" customWidth="1"/>
    <col min="5642" max="5642" width="7.59765625" style="413"/>
    <col min="5643" max="5643" width="12.3984375" style="413" customWidth="1"/>
    <col min="5644" max="5887" width="7.59765625" style="413"/>
    <col min="5888" max="5888" width="10.796875" style="413" customWidth="1"/>
    <col min="5889" max="5889" width="6.73046875" style="413" customWidth="1"/>
    <col min="5890" max="5890" width="11.59765625" style="413" customWidth="1"/>
    <col min="5891" max="5891" width="9.1328125" style="413" customWidth="1"/>
    <col min="5892" max="5892" width="8.06640625" style="413" customWidth="1"/>
    <col min="5893" max="5893" width="8.59765625" style="413" customWidth="1"/>
    <col min="5894" max="5894" width="15" style="413" customWidth="1"/>
    <col min="5895" max="5895" width="12" style="413" customWidth="1"/>
    <col min="5896" max="5896" width="14.73046875" style="413" customWidth="1"/>
    <col min="5897" max="5897" width="12.796875" style="413" customWidth="1"/>
    <col min="5898" max="5898" width="7.59765625" style="413"/>
    <col min="5899" max="5899" width="12.3984375" style="413" customWidth="1"/>
    <col min="5900" max="6143" width="7.59765625" style="413"/>
    <col min="6144" max="6144" width="10.796875" style="413" customWidth="1"/>
    <col min="6145" max="6145" width="6.73046875" style="413" customWidth="1"/>
    <col min="6146" max="6146" width="11.59765625" style="413" customWidth="1"/>
    <col min="6147" max="6147" width="9.1328125" style="413" customWidth="1"/>
    <col min="6148" max="6148" width="8.06640625" style="413" customWidth="1"/>
    <col min="6149" max="6149" width="8.59765625" style="413" customWidth="1"/>
    <col min="6150" max="6150" width="15" style="413" customWidth="1"/>
    <col min="6151" max="6151" width="12" style="413" customWidth="1"/>
    <col min="6152" max="6152" width="14.73046875" style="413" customWidth="1"/>
    <col min="6153" max="6153" width="12.796875" style="413" customWidth="1"/>
    <col min="6154" max="6154" width="7.59765625" style="413"/>
    <col min="6155" max="6155" width="12.3984375" style="413" customWidth="1"/>
    <col min="6156" max="6399" width="7.59765625" style="413"/>
    <col min="6400" max="6400" width="10.796875" style="413" customWidth="1"/>
    <col min="6401" max="6401" width="6.73046875" style="413" customWidth="1"/>
    <col min="6402" max="6402" width="11.59765625" style="413" customWidth="1"/>
    <col min="6403" max="6403" width="9.1328125" style="413" customWidth="1"/>
    <col min="6404" max="6404" width="8.06640625" style="413" customWidth="1"/>
    <col min="6405" max="6405" width="8.59765625" style="413" customWidth="1"/>
    <col min="6406" max="6406" width="15" style="413" customWidth="1"/>
    <col min="6407" max="6407" width="12" style="413" customWidth="1"/>
    <col min="6408" max="6408" width="14.73046875" style="413" customWidth="1"/>
    <col min="6409" max="6409" width="12.796875" style="413" customWidth="1"/>
    <col min="6410" max="6410" width="7.59765625" style="413"/>
    <col min="6411" max="6411" width="12.3984375" style="413" customWidth="1"/>
    <col min="6412" max="6655" width="7.59765625" style="413"/>
    <col min="6656" max="6656" width="10.796875" style="413" customWidth="1"/>
    <col min="6657" max="6657" width="6.73046875" style="413" customWidth="1"/>
    <col min="6658" max="6658" width="11.59765625" style="413" customWidth="1"/>
    <col min="6659" max="6659" width="9.1328125" style="413" customWidth="1"/>
    <col min="6660" max="6660" width="8.06640625" style="413" customWidth="1"/>
    <col min="6661" max="6661" width="8.59765625" style="413" customWidth="1"/>
    <col min="6662" max="6662" width="15" style="413" customWidth="1"/>
    <col min="6663" max="6663" width="12" style="413" customWidth="1"/>
    <col min="6664" max="6664" width="14.73046875" style="413" customWidth="1"/>
    <col min="6665" max="6665" width="12.796875" style="413" customWidth="1"/>
    <col min="6666" max="6666" width="7.59765625" style="413"/>
    <col min="6667" max="6667" width="12.3984375" style="413" customWidth="1"/>
    <col min="6668" max="6911" width="7.59765625" style="413"/>
    <col min="6912" max="6912" width="10.796875" style="413" customWidth="1"/>
    <col min="6913" max="6913" width="6.73046875" style="413" customWidth="1"/>
    <col min="6914" max="6914" width="11.59765625" style="413" customWidth="1"/>
    <col min="6915" max="6915" width="9.1328125" style="413" customWidth="1"/>
    <col min="6916" max="6916" width="8.06640625" style="413" customWidth="1"/>
    <col min="6917" max="6917" width="8.59765625" style="413" customWidth="1"/>
    <col min="6918" max="6918" width="15" style="413" customWidth="1"/>
    <col min="6919" max="6919" width="12" style="413" customWidth="1"/>
    <col min="6920" max="6920" width="14.73046875" style="413" customWidth="1"/>
    <col min="6921" max="6921" width="12.796875" style="413" customWidth="1"/>
    <col min="6922" max="6922" width="7.59765625" style="413"/>
    <col min="6923" max="6923" width="12.3984375" style="413" customWidth="1"/>
    <col min="6924" max="7167" width="7.59765625" style="413"/>
    <col min="7168" max="7168" width="10.796875" style="413" customWidth="1"/>
    <col min="7169" max="7169" width="6.73046875" style="413" customWidth="1"/>
    <col min="7170" max="7170" width="11.59765625" style="413" customWidth="1"/>
    <col min="7171" max="7171" width="9.1328125" style="413" customWidth="1"/>
    <col min="7172" max="7172" width="8.06640625" style="413" customWidth="1"/>
    <col min="7173" max="7173" width="8.59765625" style="413" customWidth="1"/>
    <col min="7174" max="7174" width="15" style="413" customWidth="1"/>
    <col min="7175" max="7175" width="12" style="413" customWidth="1"/>
    <col min="7176" max="7176" width="14.73046875" style="413" customWidth="1"/>
    <col min="7177" max="7177" width="12.796875" style="413" customWidth="1"/>
    <col min="7178" max="7178" width="7.59765625" style="413"/>
    <col min="7179" max="7179" width="12.3984375" style="413" customWidth="1"/>
    <col min="7180" max="7423" width="7.59765625" style="413"/>
    <col min="7424" max="7424" width="10.796875" style="413" customWidth="1"/>
    <col min="7425" max="7425" width="6.73046875" style="413" customWidth="1"/>
    <col min="7426" max="7426" width="11.59765625" style="413" customWidth="1"/>
    <col min="7427" max="7427" width="9.1328125" style="413" customWidth="1"/>
    <col min="7428" max="7428" width="8.06640625" style="413" customWidth="1"/>
    <col min="7429" max="7429" width="8.59765625" style="413" customWidth="1"/>
    <col min="7430" max="7430" width="15" style="413" customWidth="1"/>
    <col min="7431" max="7431" width="12" style="413" customWidth="1"/>
    <col min="7432" max="7432" width="14.73046875" style="413" customWidth="1"/>
    <col min="7433" max="7433" width="12.796875" style="413" customWidth="1"/>
    <col min="7434" max="7434" width="7.59765625" style="413"/>
    <col min="7435" max="7435" width="12.3984375" style="413" customWidth="1"/>
    <col min="7436" max="7679" width="7.59765625" style="413"/>
    <col min="7680" max="7680" width="10.796875" style="413" customWidth="1"/>
    <col min="7681" max="7681" width="6.73046875" style="413" customWidth="1"/>
    <col min="7682" max="7682" width="11.59765625" style="413" customWidth="1"/>
    <col min="7683" max="7683" width="9.1328125" style="413" customWidth="1"/>
    <col min="7684" max="7684" width="8.06640625" style="413" customWidth="1"/>
    <col min="7685" max="7685" width="8.59765625" style="413" customWidth="1"/>
    <col min="7686" max="7686" width="15" style="413" customWidth="1"/>
    <col min="7687" max="7687" width="12" style="413" customWidth="1"/>
    <col min="7688" max="7688" width="14.73046875" style="413" customWidth="1"/>
    <col min="7689" max="7689" width="12.796875" style="413" customWidth="1"/>
    <col min="7690" max="7690" width="7.59765625" style="413"/>
    <col min="7691" max="7691" width="12.3984375" style="413" customWidth="1"/>
    <col min="7692" max="7935" width="7.59765625" style="413"/>
    <col min="7936" max="7936" width="10.796875" style="413" customWidth="1"/>
    <col min="7937" max="7937" width="6.73046875" style="413" customWidth="1"/>
    <col min="7938" max="7938" width="11.59765625" style="413" customWidth="1"/>
    <col min="7939" max="7939" width="9.1328125" style="413" customWidth="1"/>
    <col min="7940" max="7940" width="8.06640625" style="413" customWidth="1"/>
    <col min="7941" max="7941" width="8.59765625" style="413" customWidth="1"/>
    <col min="7942" max="7942" width="15" style="413" customWidth="1"/>
    <col min="7943" max="7943" width="12" style="413" customWidth="1"/>
    <col min="7944" max="7944" width="14.73046875" style="413" customWidth="1"/>
    <col min="7945" max="7945" width="12.796875" style="413" customWidth="1"/>
    <col min="7946" max="7946" width="7.59765625" style="413"/>
    <col min="7947" max="7947" width="12.3984375" style="413" customWidth="1"/>
    <col min="7948" max="8191" width="7.59765625" style="413"/>
    <col min="8192" max="8192" width="10.796875" style="413" customWidth="1"/>
    <col min="8193" max="8193" width="6.73046875" style="413" customWidth="1"/>
    <col min="8194" max="8194" width="11.59765625" style="413" customWidth="1"/>
    <col min="8195" max="8195" width="9.1328125" style="413" customWidth="1"/>
    <col min="8196" max="8196" width="8.06640625" style="413" customWidth="1"/>
    <col min="8197" max="8197" width="8.59765625" style="413" customWidth="1"/>
    <col min="8198" max="8198" width="15" style="413" customWidth="1"/>
    <col min="8199" max="8199" width="12" style="413" customWidth="1"/>
    <col min="8200" max="8200" width="14.73046875" style="413" customWidth="1"/>
    <col min="8201" max="8201" width="12.796875" style="413" customWidth="1"/>
    <col min="8202" max="8202" width="7.59765625" style="413"/>
    <col min="8203" max="8203" width="12.3984375" style="413" customWidth="1"/>
    <col min="8204" max="8447" width="7.59765625" style="413"/>
    <col min="8448" max="8448" width="10.796875" style="413" customWidth="1"/>
    <col min="8449" max="8449" width="6.73046875" style="413" customWidth="1"/>
    <col min="8450" max="8450" width="11.59765625" style="413" customWidth="1"/>
    <col min="8451" max="8451" width="9.1328125" style="413" customWidth="1"/>
    <col min="8452" max="8452" width="8.06640625" style="413" customWidth="1"/>
    <col min="8453" max="8453" width="8.59765625" style="413" customWidth="1"/>
    <col min="8454" max="8454" width="15" style="413" customWidth="1"/>
    <col min="8455" max="8455" width="12" style="413" customWidth="1"/>
    <col min="8456" max="8456" width="14.73046875" style="413" customWidth="1"/>
    <col min="8457" max="8457" width="12.796875" style="413" customWidth="1"/>
    <col min="8458" max="8458" width="7.59765625" style="413"/>
    <col min="8459" max="8459" width="12.3984375" style="413" customWidth="1"/>
    <col min="8460" max="8703" width="7.59765625" style="413"/>
    <col min="8704" max="8704" width="10.796875" style="413" customWidth="1"/>
    <col min="8705" max="8705" width="6.73046875" style="413" customWidth="1"/>
    <col min="8706" max="8706" width="11.59765625" style="413" customWidth="1"/>
    <col min="8707" max="8707" width="9.1328125" style="413" customWidth="1"/>
    <col min="8708" max="8708" width="8.06640625" style="413" customWidth="1"/>
    <col min="8709" max="8709" width="8.59765625" style="413" customWidth="1"/>
    <col min="8710" max="8710" width="15" style="413" customWidth="1"/>
    <col min="8711" max="8711" width="12" style="413" customWidth="1"/>
    <col min="8712" max="8712" width="14.73046875" style="413" customWidth="1"/>
    <col min="8713" max="8713" width="12.796875" style="413" customWidth="1"/>
    <col min="8714" max="8714" width="7.59765625" style="413"/>
    <col min="8715" max="8715" width="12.3984375" style="413" customWidth="1"/>
    <col min="8716" max="8959" width="7.59765625" style="413"/>
    <col min="8960" max="8960" width="10.796875" style="413" customWidth="1"/>
    <col min="8961" max="8961" width="6.73046875" style="413" customWidth="1"/>
    <col min="8962" max="8962" width="11.59765625" style="413" customWidth="1"/>
    <col min="8963" max="8963" width="9.1328125" style="413" customWidth="1"/>
    <col min="8964" max="8964" width="8.06640625" style="413" customWidth="1"/>
    <col min="8965" max="8965" width="8.59765625" style="413" customWidth="1"/>
    <col min="8966" max="8966" width="15" style="413" customWidth="1"/>
    <col min="8967" max="8967" width="12" style="413" customWidth="1"/>
    <col min="8968" max="8968" width="14.73046875" style="413" customWidth="1"/>
    <col min="8969" max="8969" width="12.796875" style="413" customWidth="1"/>
    <col min="8970" max="8970" width="7.59765625" style="413"/>
    <col min="8971" max="8971" width="12.3984375" style="413" customWidth="1"/>
    <col min="8972" max="9215" width="7.59765625" style="413"/>
    <col min="9216" max="9216" width="10.796875" style="413" customWidth="1"/>
    <col min="9217" max="9217" width="6.73046875" style="413" customWidth="1"/>
    <col min="9218" max="9218" width="11.59765625" style="413" customWidth="1"/>
    <col min="9219" max="9219" width="9.1328125" style="413" customWidth="1"/>
    <col min="9220" max="9220" width="8.06640625" style="413" customWidth="1"/>
    <col min="9221" max="9221" width="8.59765625" style="413" customWidth="1"/>
    <col min="9222" max="9222" width="15" style="413" customWidth="1"/>
    <col min="9223" max="9223" width="12" style="413" customWidth="1"/>
    <col min="9224" max="9224" width="14.73046875" style="413" customWidth="1"/>
    <col min="9225" max="9225" width="12.796875" style="413" customWidth="1"/>
    <col min="9226" max="9226" width="7.59765625" style="413"/>
    <col min="9227" max="9227" width="12.3984375" style="413" customWidth="1"/>
    <col min="9228" max="9471" width="7.59765625" style="413"/>
    <col min="9472" max="9472" width="10.796875" style="413" customWidth="1"/>
    <col min="9473" max="9473" width="6.73046875" style="413" customWidth="1"/>
    <col min="9474" max="9474" width="11.59765625" style="413" customWidth="1"/>
    <col min="9475" max="9475" width="9.1328125" style="413" customWidth="1"/>
    <col min="9476" max="9476" width="8.06640625" style="413" customWidth="1"/>
    <col min="9477" max="9477" width="8.59765625" style="413" customWidth="1"/>
    <col min="9478" max="9478" width="15" style="413" customWidth="1"/>
    <col min="9479" max="9479" width="12" style="413" customWidth="1"/>
    <col min="9480" max="9480" width="14.73046875" style="413" customWidth="1"/>
    <col min="9481" max="9481" width="12.796875" style="413" customWidth="1"/>
    <col min="9482" max="9482" width="7.59765625" style="413"/>
    <col min="9483" max="9483" width="12.3984375" style="413" customWidth="1"/>
    <col min="9484" max="9727" width="7.59765625" style="413"/>
    <col min="9728" max="9728" width="10.796875" style="413" customWidth="1"/>
    <col min="9729" max="9729" width="6.73046875" style="413" customWidth="1"/>
    <col min="9730" max="9730" width="11.59765625" style="413" customWidth="1"/>
    <col min="9731" max="9731" width="9.1328125" style="413" customWidth="1"/>
    <col min="9732" max="9732" width="8.06640625" style="413" customWidth="1"/>
    <col min="9733" max="9733" width="8.59765625" style="413" customWidth="1"/>
    <col min="9734" max="9734" width="15" style="413" customWidth="1"/>
    <col min="9735" max="9735" width="12" style="413" customWidth="1"/>
    <col min="9736" max="9736" width="14.73046875" style="413" customWidth="1"/>
    <col min="9737" max="9737" width="12.796875" style="413" customWidth="1"/>
    <col min="9738" max="9738" width="7.59765625" style="413"/>
    <col min="9739" max="9739" width="12.3984375" style="413" customWidth="1"/>
    <col min="9740" max="9983" width="7.59765625" style="413"/>
    <col min="9984" max="9984" width="10.796875" style="413" customWidth="1"/>
    <col min="9985" max="9985" width="6.73046875" style="413" customWidth="1"/>
    <col min="9986" max="9986" width="11.59765625" style="413" customWidth="1"/>
    <col min="9987" max="9987" width="9.1328125" style="413" customWidth="1"/>
    <col min="9988" max="9988" width="8.06640625" style="413" customWidth="1"/>
    <col min="9989" max="9989" width="8.59765625" style="413" customWidth="1"/>
    <col min="9990" max="9990" width="15" style="413" customWidth="1"/>
    <col min="9991" max="9991" width="12" style="413" customWidth="1"/>
    <col min="9992" max="9992" width="14.73046875" style="413" customWidth="1"/>
    <col min="9993" max="9993" width="12.796875" style="413" customWidth="1"/>
    <col min="9994" max="9994" width="7.59765625" style="413"/>
    <col min="9995" max="9995" width="12.3984375" style="413" customWidth="1"/>
    <col min="9996" max="10239" width="7.59765625" style="413"/>
    <col min="10240" max="10240" width="10.796875" style="413" customWidth="1"/>
    <col min="10241" max="10241" width="6.73046875" style="413" customWidth="1"/>
    <col min="10242" max="10242" width="11.59765625" style="413" customWidth="1"/>
    <col min="10243" max="10243" width="9.1328125" style="413" customWidth="1"/>
    <col min="10244" max="10244" width="8.06640625" style="413" customWidth="1"/>
    <col min="10245" max="10245" width="8.59765625" style="413" customWidth="1"/>
    <col min="10246" max="10246" width="15" style="413" customWidth="1"/>
    <col min="10247" max="10247" width="12" style="413" customWidth="1"/>
    <col min="10248" max="10248" width="14.73046875" style="413" customWidth="1"/>
    <col min="10249" max="10249" width="12.796875" style="413" customWidth="1"/>
    <col min="10250" max="10250" width="7.59765625" style="413"/>
    <col min="10251" max="10251" width="12.3984375" style="413" customWidth="1"/>
    <col min="10252" max="10495" width="7.59765625" style="413"/>
    <col min="10496" max="10496" width="10.796875" style="413" customWidth="1"/>
    <col min="10497" max="10497" width="6.73046875" style="413" customWidth="1"/>
    <col min="10498" max="10498" width="11.59765625" style="413" customWidth="1"/>
    <col min="10499" max="10499" width="9.1328125" style="413" customWidth="1"/>
    <col min="10500" max="10500" width="8.06640625" style="413" customWidth="1"/>
    <col min="10501" max="10501" width="8.59765625" style="413" customWidth="1"/>
    <col min="10502" max="10502" width="15" style="413" customWidth="1"/>
    <col min="10503" max="10503" width="12" style="413" customWidth="1"/>
    <col min="10504" max="10504" width="14.73046875" style="413" customWidth="1"/>
    <col min="10505" max="10505" width="12.796875" style="413" customWidth="1"/>
    <col min="10506" max="10506" width="7.59765625" style="413"/>
    <col min="10507" max="10507" width="12.3984375" style="413" customWidth="1"/>
    <col min="10508" max="10751" width="7.59765625" style="413"/>
    <col min="10752" max="10752" width="10.796875" style="413" customWidth="1"/>
    <col min="10753" max="10753" width="6.73046875" style="413" customWidth="1"/>
    <col min="10754" max="10754" width="11.59765625" style="413" customWidth="1"/>
    <col min="10755" max="10755" width="9.1328125" style="413" customWidth="1"/>
    <col min="10756" max="10756" width="8.06640625" style="413" customWidth="1"/>
    <col min="10757" max="10757" width="8.59765625" style="413" customWidth="1"/>
    <col min="10758" max="10758" width="15" style="413" customWidth="1"/>
    <col min="10759" max="10759" width="12" style="413" customWidth="1"/>
    <col min="10760" max="10760" width="14.73046875" style="413" customWidth="1"/>
    <col min="10761" max="10761" width="12.796875" style="413" customWidth="1"/>
    <col min="10762" max="10762" width="7.59765625" style="413"/>
    <col min="10763" max="10763" width="12.3984375" style="413" customWidth="1"/>
    <col min="10764" max="11007" width="7.59765625" style="413"/>
    <col min="11008" max="11008" width="10.796875" style="413" customWidth="1"/>
    <col min="11009" max="11009" width="6.73046875" style="413" customWidth="1"/>
    <col min="11010" max="11010" width="11.59765625" style="413" customWidth="1"/>
    <col min="11011" max="11011" width="9.1328125" style="413" customWidth="1"/>
    <col min="11012" max="11012" width="8.06640625" style="413" customWidth="1"/>
    <col min="11013" max="11013" width="8.59765625" style="413" customWidth="1"/>
    <col min="11014" max="11014" width="15" style="413" customWidth="1"/>
    <col min="11015" max="11015" width="12" style="413" customWidth="1"/>
    <col min="11016" max="11016" width="14.73046875" style="413" customWidth="1"/>
    <col min="11017" max="11017" width="12.796875" style="413" customWidth="1"/>
    <col min="11018" max="11018" width="7.59765625" style="413"/>
    <col min="11019" max="11019" width="12.3984375" style="413" customWidth="1"/>
    <col min="11020" max="11263" width="7.59765625" style="413"/>
    <col min="11264" max="11264" width="10.796875" style="413" customWidth="1"/>
    <col min="11265" max="11265" width="6.73046875" style="413" customWidth="1"/>
    <col min="11266" max="11266" width="11.59765625" style="413" customWidth="1"/>
    <col min="11267" max="11267" width="9.1328125" style="413" customWidth="1"/>
    <col min="11268" max="11268" width="8.06640625" style="413" customWidth="1"/>
    <col min="11269" max="11269" width="8.59765625" style="413" customWidth="1"/>
    <col min="11270" max="11270" width="15" style="413" customWidth="1"/>
    <col min="11271" max="11271" width="12" style="413" customWidth="1"/>
    <col min="11272" max="11272" width="14.73046875" style="413" customWidth="1"/>
    <col min="11273" max="11273" width="12.796875" style="413" customWidth="1"/>
    <col min="11274" max="11274" width="7.59765625" style="413"/>
    <col min="11275" max="11275" width="12.3984375" style="413" customWidth="1"/>
    <col min="11276" max="11519" width="7.59765625" style="413"/>
    <col min="11520" max="11520" width="10.796875" style="413" customWidth="1"/>
    <col min="11521" max="11521" width="6.73046875" style="413" customWidth="1"/>
    <col min="11522" max="11522" width="11.59765625" style="413" customWidth="1"/>
    <col min="11523" max="11523" width="9.1328125" style="413" customWidth="1"/>
    <col min="11524" max="11524" width="8.06640625" style="413" customWidth="1"/>
    <col min="11525" max="11525" width="8.59765625" style="413" customWidth="1"/>
    <col min="11526" max="11526" width="15" style="413" customWidth="1"/>
    <col min="11527" max="11527" width="12" style="413" customWidth="1"/>
    <col min="11528" max="11528" width="14.73046875" style="413" customWidth="1"/>
    <col min="11529" max="11529" width="12.796875" style="413" customWidth="1"/>
    <col min="11530" max="11530" width="7.59765625" style="413"/>
    <col min="11531" max="11531" width="12.3984375" style="413" customWidth="1"/>
    <col min="11532" max="11775" width="7.59765625" style="413"/>
    <col min="11776" max="11776" width="10.796875" style="413" customWidth="1"/>
    <col min="11777" max="11777" width="6.73046875" style="413" customWidth="1"/>
    <col min="11778" max="11778" width="11.59765625" style="413" customWidth="1"/>
    <col min="11779" max="11779" width="9.1328125" style="413" customWidth="1"/>
    <col min="11780" max="11780" width="8.06640625" style="413" customWidth="1"/>
    <col min="11781" max="11781" width="8.59765625" style="413" customWidth="1"/>
    <col min="11782" max="11782" width="15" style="413" customWidth="1"/>
    <col min="11783" max="11783" width="12" style="413" customWidth="1"/>
    <col min="11784" max="11784" width="14.73046875" style="413" customWidth="1"/>
    <col min="11785" max="11785" width="12.796875" style="413" customWidth="1"/>
    <col min="11786" max="11786" width="7.59765625" style="413"/>
    <col min="11787" max="11787" width="12.3984375" style="413" customWidth="1"/>
    <col min="11788" max="12031" width="7.59765625" style="413"/>
    <col min="12032" max="12032" width="10.796875" style="413" customWidth="1"/>
    <col min="12033" max="12033" width="6.73046875" style="413" customWidth="1"/>
    <col min="12034" max="12034" width="11.59765625" style="413" customWidth="1"/>
    <col min="12035" max="12035" width="9.1328125" style="413" customWidth="1"/>
    <col min="12036" max="12036" width="8.06640625" style="413" customWidth="1"/>
    <col min="12037" max="12037" width="8.59765625" style="413" customWidth="1"/>
    <col min="12038" max="12038" width="15" style="413" customWidth="1"/>
    <col min="12039" max="12039" width="12" style="413" customWidth="1"/>
    <col min="12040" max="12040" width="14.73046875" style="413" customWidth="1"/>
    <col min="12041" max="12041" width="12.796875" style="413" customWidth="1"/>
    <col min="12042" max="12042" width="7.59765625" style="413"/>
    <col min="12043" max="12043" width="12.3984375" style="413" customWidth="1"/>
    <col min="12044" max="12287" width="7.59765625" style="413"/>
    <col min="12288" max="12288" width="10.796875" style="413" customWidth="1"/>
    <col min="12289" max="12289" width="6.73046875" style="413" customWidth="1"/>
    <col min="12290" max="12290" width="11.59765625" style="413" customWidth="1"/>
    <col min="12291" max="12291" width="9.1328125" style="413" customWidth="1"/>
    <col min="12292" max="12292" width="8.06640625" style="413" customWidth="1"/>
    <col min="12293" max="12293" width="8.59765625" style="413" customWidth="1"/>
    <col min="12294" max="12294" width="15" style="413" customWidth="1"/>
    <col min="12295" max="12295" width="12" style="413" customWidth="1"/>
    <col min="12296" max="12296" width="14.73046875" style="413" customWidth="1"/>
    <col min="12297" max="12297" width="12.796875" style="413" customWidth="1"/>
    <col min="12298" max="12298" width="7.59765625" style="413"/>
    <col min="12299" max="12299" width="12.3984375" style="413" customWidth="1"/>
    <col min="12300" max="12543" width="7.59765625" style="413"/>
    <col min="12544" max="12544" width="10.796875" style="413" customWidth="1"/>
    <col min="12545" max="12545" width="6.73046875" style="413" customWidth="1"/>
    <col min="12546" max="12546" width="11.59765625" style="413" customWidth="1"/>
    <col min="12547" max="12547" width="9.1328125" style="413" customWidth="1"/>
    <col min="12548" max="12548" width="8.06640625" style="413" customWidth="1"/>
    <col min="12549" max="12549" width="8.59765625" style="413" customWidth="1"/>
    <col min="12550" max="12550" width="15" style="413" customWidth="1"/>
    <col min="12551" max="12551" width="12" style="413" customWidth="1"/>
    <col min="12552" max="12552" width="14.73046875" style="413" customWidth="1"/>
    <col min="12553" max="12553" width="12.796875" style="413" customWidth="1"/>
    <col min="12554" max="12554" width="7.59765625" style="413"/>
    <col min="12555" max="12555" width="12.3984375" style="413" customWidth="1"/>
    <col min="12556" max="12799" width="7.59765625" style="413"/>
    <col min="12800" max="12800" width="10.796875" style="413" customWidth="1"/>
    <col min="12801" max="12801" width="6.73046875" style="413" customWidth="1"/>
    <col min="12802" max="12802" width="11.59765625" style="413" customWidth="1"/>
    <col min="12803" max="12803" width="9.1328125" style="413" customWidth="1"/>
    <col min="12804" max="12804" width="8.06640625" style="413" customWidth="1"/>
    <col min="12805" max="12805" width="8.59765625" style="413" customWidth="1"/>
    <col min="12806" max="12806" width="15" style="413" customWidth="1"/>
    <col min="12807" max="12807" width="12" style="413" customWidth="1"/>
    <col min="12808" max="12808" width="14.73046875" style="413" customWidth="1"/>
    <col min="12809" max="12809" width="12.796875" style="413" customWidth="1"/>
    <col min="12810" max="12810" width="7.59765625" style="413"/>
    <col min="12811" max="12811" width="12.3984375" style="413" customWidth="1"/>
    <col min="12812" max="13055" width="7.59765625" style="413"/>
    <col min="13056" max="13056" width="10.796875" style="413" customWidth="1"/>
    <col min="13057" max="13057" width="6.73046875" style="413" customWidth="1"/>
    <col min="13058" max="13058" width="11.59765625" style="413" customWidth="1"/>
    <col min="13059" max="13059" width="9.1328125" style="413" customWidth="1"/>
    <col min="13060" max="13060" width="8.06640625" style="413" customWidth="1"/>
    <col min="13061" max="13061" width="8.59765625" style="413" customWidth="1"/>
    <col min="13062" max="13062" width="15" style="413" customWidth="1"/>
    <col min="13063" max="13063" width="12" style="413" customWidth="1"/>
    <col min="13064" max="13064" width="14.73046875" style="413" customWidth="1"/>
    <col min="13065" max="13065" width="12.796875" style="413" customWidth="1"/>
    <col min="13066" max="13066" width="7.59765625" style="413"/>
    <col min="13067" max="13067" width="12.3984375" style="413" customWidth="1"/>
    <col min="13068" max="13311" width="7.59765625" style="413"/>
    <col min="13312" max="13312" width="10.796875" style="413" customWidth="1"/>
    <col min="13313" max="13313" width="6.73046875" style="413" customWidth="1"/>
    <col min="13314" max="13314" width="11.59765625" style="413" customWidth="1"/>
    <col min="13315" max="13315" width="9.1328125" style="413" customWidth="1"/>
    <col min="13316" max="13316" width="8.06640625" style="413" customWidth="1"/>
    <col min="13317" max="13317" width="8.59765625" style="413" customWidth="1"/>
    <col min="13318" max="13318" width="15" style="413" customWidth="1"/>
    <col min="13319" max="13319" width="12" style="413" customWidth="1"/>
    <col min="13320" max="13320" width="14.73046875" style="413" customWidth="1"/>
    <col min="13321" max="13321" width="12.796875" style="413" customWidth="1"/>
    <col min="13322" max="13322" width="7.59765625" style="413"/>
    <col min="13323" max="13323" width="12.3984375" style="413" customWidth="1"/>
    <col min="13324" max="13567" width="7.59765625" style="413"/>
    <col min="13568" max="13568" width="10.796875" style="413" customWidth="1"/>
    <col min="13569" max="13569" width="6.73046875" style="413" customWidth="1"/>
    <col min="13570" max="13570" width="11.59765625" style="413" customWidth="1"/>
    <col min="13571" max="13571" width="9.1328125" style="413" customWidth="1"/>
    <col min="13572" max="13572" width="8.06640625" style="413" customWidth="1"/>
    <col min="13573" max="13573" width="8.59765625" style="413" customWidth="1"/>
    <col min="13574" max="13574" width="15" style="413" customWidth="1"/>
    <col min="13575" max="13575" width="12" style="413" customWidth="1"/>
    <col min="13576" max="13576" width="14.73046875" style="413" customWidth="1"/>
    <col min="13577" max="13577" width="12.796875" style="413" customWidth="1"/>
    <col min="13578" max="13578" width="7.59765625" style="413"/>
    <col min="13579" max="13579" width="12.3984375" style="413" customWidth="1"/>
    <col min="13580" max="13823" width="7.59765625" style="413"/>
    <col min="13824" max="13824" width="10.796875" style="413" customWidth="1"/>
    <col min="13825" max="13825" width="6.73046875" style="413" customWidth="1"/>
    <col min="13826" max="13826" width="11.59765625" style="413" customWidth="1"/>
    <col min="13827" max="13827" width="9.1328125" style="413" customWidth="1"/>
    <col min="13828" max="13828" width="8.06640625" style="413" customWidth="1"/>
    <col min="13829" max="13829" width="8.59765625" style="413" customWidth="1"/>
    <col min="13830" max="13830" width="15" style="413" customWidth="1"/>
    <col min="13831" max="13831" width="12" style="413" customWidth="1"/>
    <col min="13832" max="13832" width="14.73046875" style="413" customWidth="1"/>
    <col min="13833" max="13833" width="12.796875" style="413" customWidth="1"/>
    <col min="13834" max="13834" width="7.59765625" style="413"/>
    <col min="13835" max="13835" width="12.3984375" style="413" customWidth="1"/>
    <col min="13836" max="14079" width="7.59765625" style="413"/>
    <col min="14080" max="14080" width="10.796875" style="413" customWidth="1"/>
    <col min="14081" max="14081" width="6.73046875" style="413" customWidth="1"/>
    <col min="14082" max="14082" width="11.59765625" style="413" customWidth="1"/>
    <col min="14083" max="14083" width="9.1328125" style="413" customWidth="1"/>
    <col min="14084" max="14084" width="8.06640625" style="413" customWidth="1"/>
    <col min="14085" max="14085" width="8.59765625" style="413" customWidth="1"/>
    <col min="14086" max="14086" width="15" style="413" customWidth="1"/>
    <col min="14087" max="14087" width="12" style="413" customWidth="1"/>
    <col min="14088" max="14088" width="14.73046875" style="413" customWidth="1"/>
    <col min="14089" max="14089" width="12.796875" style="413" customWidth="1"/>
    <col min="14090" max="14090" width="7.59765625" style="413"/>
    <col min="14091" max="14091" width="12.3984375" style="413" customWidth="1"/>
    <col min="14092" max="14335" width="7.59765625" style="413"/>
    <col min="14336" max="14336" width="10.796875" style="413" customWidth="1"/>
    <col min="14337" max="14337" width="6.73046875" style="413" customWidth="1"/>
    <col min="14338" max="14338" width="11.59765625" style="413" customWidth="1"/>
    <col min="14339" max="14339" width="9.1328125" style="413" customWidth="1"/>
    <col min="14340" max="14340" width="8.06640625" style="413" customWidth="1"/>
    <col min="14341" max="14341" width="8.59765625" style="413" customWidth="1"/>
    <col min="14342" max="14342" width="15" style="413" customWidth="1"/>
    <col min="14343" max="14343" width="12" style="413" customWidth="1"/>
    <col min="14344" max="14344" width="14.73046875" style="413" customWidth="1"/>
    <col min="14345" max="14345" width="12.796875" style="413" customWidth="1"/>
    <col min="14346" max="14346" width="7.59765625" style="413"/>
    <col min="14347" max="14347" width="12.3984375" style="413" customWidth="1"/>
    <col min="14348" max="14591" width="7.59765625" style="413"/>
    <col min="14592" max="14592" width="10.796875" style="413" customWidth="1"/>
    <col min="14593" max="14593" width="6.73046875" style="413" customWidth="1"/>
    <col min="14594" max="14594" width="11.59765625" style="413" customWidth="1"/>
    <col min="14595" max="14595" width="9.1328125" style="413" customWidth="1"/>
    <col min="14596" max="14596" width="8.06640625" style="413" customWidth="1"/>
    <col min="14597" max="14597" width="8.59765625" style="413" customWidth="1"/>
    <col min="14598" max="14598" width="15" style="413" customWidth="1"/>
    <col min="14599" max="14599" width="12" style="413" customWidth="1"/>
    <col min="14600" max="14600" width="14.73046875" style="413" customWidth="1"/>
    <col min="14601" max="14601" width="12.796875" style="413" customWidth="1"/>
    <col min="14602" max="14602" width="7.59765625" style="413"/>
    <col min="14603" max="14603" width="12.3984375" style="413" customWidth="1"/>
    <col min="14604" max="14847" width="7.59765625" style="413"/>
    <col min="14848" max="14848" width="10.796875" style="413" customWidth="1"/>
    <col min="14849" max="14849" width="6.73046875" style="413" customWidth="1"/>
    <col min="14850" max="14850" width="11.59765625" style="413" customWidth="1"/>
    <col min="14851" max="14851" width="9.1328125" style="413" customWidth="1"/>
    <col min="14852" max="14852" width="8.06640625" style="413" customWidth="1"/>
    <col min="14853" max="14853" width="8.59765625" style="413" customWidth="1"/>
    <col min="14854" max="14854" width="15" style="413" customWidth="1"/>
    <col min="14855" max="14855" width="12" style="413" customWidth="1"/>
    <col min="14856" max="14856" width="14.73046875" style="413" customWidth="1"/>
    <col min="14857" max="14857" width="12.796875" style="413" customWidth="1"/>
    <col min="14858" max="14858" width="7.59765625" style="413"/>
    <col min="14859" max="14859" width="12.3984375" style="413" customWidth="1"/>
    <col min="14860" max="15103" width="7.59765625" style="413"/>
    <col min="15104" max="15104" width="10.796875" style="413" customWidth="1"/>
    <col min="15105" max="15105" width="6.73046875" style="413" customWidth="1"/>
    <col min="15106" max="15106" width="11.59765625" style="413" customWidth="1"/>
    <col min="15107" max="15107" width="9.1328125" style="413" customWidth="1"/>
    <col min="15108" max="15108" width="8.06640625" style="413" customWidth="1"/>
    <col min="15109" max="15109" width="8.59765625" style="413" customWidth="1"/>
    <col min="15110" max="15110" width="15" style="413" customWidth="1"/>
    <col min="15111" max="15111" width="12" style="413" customWidth="1"/>
    <col min="15112" max="15112" width="14.73046875" style="413" customWidth="1"/>
    <col min="15113" max="15113" width="12.796875" style="413" customWidth="1"/>
    <col min="15114" max="15114" width="7.59765625" style="413"/>
    <col min="15115" max="15115" width="12.3984375" style="413" customWidth="1"/>
    <col min="15116" max="15359" width="7.59765625" style="413"/>
    <col min="15360" max="15360" width="10.796875" style="413" customWidth="1"/>
    <col min="15361" max="15361" width="6.73046875" style="413" customWidth="1"/>
    <col min="15362" max="15362" width="11.59765625" style="413" customWidth="1"/>
    <col min="15363" max="15363" width="9.1328125" style="413" customWidth="1"/>
    <col min="15364" max="15364" width="8.06640625" style="413" customWidth="1"/>
    <col min="15365" max="15365" width="8.59765625" style="413" customWidth="1"/>
    <col min="15366" max="15366" width="15" style="413" customWidth="1"/>
    <col min="15367" max="15367" width="12" style="413" customWidth="1"/>
    <col min="15368" max="15368" width="14.73046875" style="413" customWidth="1"/>
    <col min="15369" max="15369" width="12.796875" style="413" customWidth="1"/>
    <col min="15370" max="15370" width="7.59765625" style="413"/>
    <col min="15371" max="15371" width="12.3984375" style="413" customWidth="1"/>
    <col min="15372" max="15615" width="7.59765625" style="413"/>
    <col min="15616" max="15616" width="10.796875" style="413" customWidth="1"/>
    <col min="15617" max="15617" width="6.73046875" style="413" customWidth="1"/>
    <col min="15618" max="15618" width="11.59765625" style="413" customWidth="1"/>
    <col min="15619" max="15619" width="9.1328125" style="413" customWidth="1"/>
    <col min="15620" max="15620" width="8.06640625" style="413" customWidth="1"/>
    <col min="15621" max="15621" width="8.59765625" style="413" customWidth="1"/>
    <col min="15622" max="15622" width="15" style="413" customWidth="1"/>
    <col min="15623" max="15623" width="12" style="413" customWidth="1"/>
    <col min="15624" max="15624" width="14.73046875" style="413" customWidth="1"/>
    <col min="15625" max="15625" width="12.796875" style="413" customWidth="1"/>
    <col min="15626" max="15626" width="7.59765625" style="413"/>
    <col min="15627" max="15627" width="12.3984375" style="413" customWidth="1"/>
    <col min="15628" max="15871" width="7.59765625" style="413"/>
    <col min="15872" max="15872" width="10.796875" style="413" customWidth="1"/>
    <col min="15873" max="15873" width="6.73046875" style="413" customWidth="1"/>
    <col min="15874" max="15874" width="11.59765625" style="413" customWidth="1"/>
    <col min="15875" max="15875" width="9.1328125" style="413" customWidth="1"/>
    <col min="15876" max="15876" width="8.06640625" style="413" customWidth="1"/>
    <col min="15877" max="15877" width="8.59765625" style="413" customWidth="1"/>
    <col min="15878" max="15878" width="15" style="413" customWidth="1"/>
    <col min="15879" max="15879" width="12" style="413" customWidth="1"/>
    <col min="15880" max="15880" width="14.73046875" style="413" customWidth="1"/>
    <col min="15881" max="15881" width="12.796875" style="413" customWidth="1"/>
    <col min="15882" max="15882" width="7.59765625" style="413"/>
    <col min="15883" max="15883" width="12.3984375" style="413" customWidth="1"/>
    <col min="15884" max="16127" width="7.59765625" style="413"/>
    <col min="16128" max="16128" width="10.796875" style="413" customWidth="1"/>
    <col min="16129" max="16129" width="6.73046875" style="413" customWidth="1"/>
    <col min="16130" max="16130" width="11.59765625" style="413" customWidth="1"/>
    <col min="16131" max="16131" width="9.1328125" style="413" customWidth="1"/>
    <col min="16132" max="16132" width="8.06640625" style="413" customWidth="1"/>
    <col min="16133" max="16133" width="8.59765625" style="413" customWidth="1"/>
    <col min="16134" max="16134" width="15" style="413" customWidth="1"/>
    <col min="16135" max="16135" width="12" style="413" customWidth="1"/>
    <col min="16136" max="16136" width="14.73046875" style="413" customWidth="1"/>
    <col min="16137" max="16137" width="12.796875" style="413" customWidth="1"/>
    <col min="16138" max="16138" width="7.59765625" style="413"/>
    <col min="16139" max="16139" width="12.3984375" style="413" customWidth="1"/>
    <col min="16140" max="16384" width="7.59765625" style="413"/>
  </cols>
  <sheetData>
    <row r="1" spans="1:25" ht="13.5">
      <c r="I1" s="423"/>
      <c r="J1" s="424"/>
    </row>
    <row r="2" spans="1:25" ht="13.5">
      <c r="I2" s="423"/>
      <c r="J2" s="424"/>
      <c r="Q2" s="427" t="s">
        <v>188</v>
      </c>
      <c r="R2" s="436"/>
    </row>
    <row r="3" spans="1:25" ht="20.25">
      <c r="A3" s="739" t="s">
        <v>307</v>
      </c>
      <c r="B3" s="739"/>
      <c r="C3" s="739"/>
      <c r="D3" s="739"/>
      <c r="E3" s="739"/>
      <c r="F3" s="739"/>
      <c r="G3" s="739"/>
      <c r="H3" s="739"/>
      <c r="I3" s="739"/>
      <c r="J3" s="739"/>
      <c r="M3" s="68" t="str">
        <f>HYPERLINK("#基本信息!I1","返回基本信息")</f>
        <v>返回基本信息</v>
      </c>
    </row>
    <row r="4" spans="1:25" ht="13.9">
      <c r="I4" s="423" t="s">
        <v>308</v>
      </c>
      <c r="J4" s="425"/>
      <c r="M4" s="68" t="str">
        <f>HYPERLINK("#操作平台!A3","返回操作平台")</f>
        <v>返回操作平台</v>
      </c>
      <c r="Q4" s="436" t="s">
        <v>51</v>
      </c>
      <c r="R4" s="437" t="s">
        <v>52</v>
      </c>
    </row>
    <row r="5" spans="1:25" ht="13.9">
      <c r="M5" s="119" t="str">
        <f>HYPERLINK("#使用说明!B2","返回模板池")</f>
        <v>返回模板池</v>
      </c>
      <c r="Q5" s="436" t="s">
        <v>53</v>
      </c>
      <c r="R5" s="437" t="s">
        <v>54</v>
      </c>
    </row>
    <row r="6" spans="1:25" ht="13.5">
      <c r="A6" s="414" t="e">
        <f>INDEX(基本信息!C:C,MATCH(I7,基本信息!D:D,0))&amp;":"</f>
        <v>#N/A</v>
      </c>
      <c r="B6" s="415"/>
      <c r="C6" s="415"/>
      <c r="D6" s="415"/>
      <c r="E6" s="415"/>
      <c r="F6" s="415"/>
      <c r="G6" s="415"/>
      <c r="H6" s="415" t="s">
        <v>187</v>
      </c>
      <c r="I6" s="413" t="e">
        <f>INDEX(基本信息!E:E,MATCH(I7,基本信息!D:D,0))</f>
        <v>#N/A</v>
      </c>
      <c r="J6" s="415"/>
      <c r="Q6" s="436" t="s">
        <v>55</v>
      </c>
      <c r="R6" s="437" t="s">
        <v>56</v>
      </c>
    </row>
    <row r="7" spans="1:25" ht="15.4">
      <c r="A7" s="415"/>
      <c r="B7" s="415"/>
      <c r="C7" s="415"/>
      <c r="D7" s="415"/>
      <c r="E7" s="415"/>
      <c r="F7" s="415"/>
      <c r="G7" s="415"/>
      <c r="H7" s="415" t="s">
        <v>189</v>
      </c>
      <c r="I7" s="413" t="s">
        <v>309</v>
      </c>
      <c r="J7" s="415"/>
      <c r="M7" s="426"/>
      <c r="Q7" s="436" t="s">
        <v>57</v>
      </c>
      <c r="R7" s="437" t="s">
        <v>310</v>
      </c>
    </row>
    <row r="8" spans="1:25" ht="15.4">
      <c r="A8" s="741" t="s">
        <v>311</v>
      </c>
      <c r="B8" s="741"/>
      <c r="C8" s="741"/>
      <c r="D8" s="741"/>
      <c r="E8" s="741"/>
      <c r="F8" s="741"/>
      <c r="G8" s="741"/>
      <c r="H8" s="741"/>
      <c r="I8" s="741"/>
      <c r="J8" s="741"/>
      <c r="M8" s="426"/>
      <c r="Q8" s="436" t="s">
        <v>59</v>
      </c>
      <c r="R8" s="428" t="s">
        <v>27</v>
      </c>
    </row>
    <row r="9" spans="1:25" ht="13.15">
      <c r="A9" s="741"/>
      <c r="B9" s="741"/>
      <c r="C9" s="741"/>
      <c r="D9" s="741"/>
      <c r="E9" s="741"/>
      <c r="F9" s="741"/>
      <c r="G9" s="741"/>
      <c r="H9" s="741"/>
      <c r="I9" s="741"/>
      <c r="J9" s="741"/>
      <c r="Q9" s="436" t="s">
        <v>60</v>
      </c>
      <c r="R9" s="437" t="s">
        <v>61</v>
      </c>
    </row>
    <row r="10" spans="1:25" ht="13.15">
      <c r="A10" s="741"/>
      <c r="B10" s="741"/>
      <c r="C10" s="741"/>
      <c r="D10" s="741"/>
      <c r="E10" s="741"/>
      <c r="F10" s="741"/>
      <c r="G10" s="741"/>
      <c r="H10" s="741"/>
      <c r="I10" s="741"/>
      <c r="J10" s="741"/>
      <c r="Q10" s="436" t="s">
        <v>62</v>
      </c>
      <c r="R10" s="437">
        <v>80</v>
      </c>
    </row>
    <row r="11" spans="1:25" ht="13.5">
      <c r="A11" s="740" t="s">
        <v>312</v>
      </c>
      <c r="B11" s="740"/>
      <c r="C11" s="740"/>
      <c r="D11" s="740"/>
      <c r="E11" s="740"/>
      <c r="F11" s="740"/>
      <c r="G11" s="740"/>
      <c r="H11" s="740"/>
      <c r="I11" s="740"/>
      <c r="J11" s="740"/>
    </row>
    <row r="12" spans="1:25" ht="13.5">
      <c r="A12" s="740" t="s">
        <v>313</v>
      </c>
      <c r="B12" s="740"/>
      <c r="C12" s="740"/>
      <c r="D12" s="740"/>
      <c r="E12" s="740"/>
      <c r="F12" s="740"/>
      <c r="G12" s="740"/>
      <c r="H12" s="740"/>
      <c r="I12" s="740"/>
      <c r="J12" s="740"/>
    </row>
    <row r="13" spans="1:25" ht="13.5">
      <c r="A13" s="741" t="s">
        <v>314</v>
      </c>
      <c r="B13" s="741"/>
      <c r="C13" s="741"/>
      <c r="D13" s="741"/>
      <c r="E13" s="741"/>
      <c r="F13" s="741"/>
      <c r="G13" s="741"/>
      <c r="H13" s="741"/>
      <c r="I13" s="741"/>
      <c r="J13" s="741"/>
    </row>
    <row r="14" spans="1:25" ht="13.5">
      <c r="A14" s="415" t="s">
        <v>315</v>
      </c>
      <c r="B14" s="415"/>
      <c r="C14" s="415"/>
      <c r="D14" s="415"/>
      <c r="E14" s="415"/>
      <c r="F14" s="415"/>
      <c r="G14" s="415"/>
      <c r="H14" s="415"/>
      <c r="I14" s="415"/>
      <c r="J14" s="415"/>
    </row>
    <row r="15" spans="1:25" ht="13.5">
      <c r="A15" s="415" t="s">
        <v>316</v>
      </c>
      <c r="B15" s="415"/>
      <c r="C15" s="415"/>
      <c r="D15" s="415"/>
      <c r="E15" s="415"/>
      <c r="F15" s="416" t="s">
        <v>317</v>
      </c>
      <c r="G15" s="415"/>
      <c r="H15" s="415"/>
      <c r="I15" s="415"/>
      <c r="J15" s="415"/>
      <c r="M15" s="427" t="s">
        <v>239</v>
      </c>
      <c r="N15" s="427" t="s">
        <v>240</v>
      </c>
      <c r="O15" s="427" t="s">
        <v>67</v>
      </c>
      <c r="P15" s="742" t="s">
        <v>65</v>
      </c>
      <c r="Q15" s="743"/>
      <c r="R15" s="743"/>
      <c r="S15" s="743"/>
      <c r="T15" s="743"/>
      <c r="U15" s="743"/>
      <c r="V15" s="743"/>
      <c r="W15" s="743"/>
      <c r="X15" s="743"/>
      <c r="Y15" s="743"/>
    </row>
    <row r="16" spans="1:25" ht="25.5">
      <c r="A16" s="415" t="s">
        <v>318</v>
      </c>
      <c r="B16" s="415"/>
      <c r="C16" s="415"/>
      <c r="D16" s="415"/>
      <c r="F16" s="417" t="s">
        <v>319</v>
      </c>
      <c r="G16" s="415"/>
      <c r="H16" s="415"/>
      <c r="I16" s="415" t="s">
        <v>320</v>
      </c>
      <c r="J16" s="415"/>
      <c r="M16" s="428" t="s">
        <v>321</v>
      </c>
      <c r="N16" s="429">
        <v>23</v>
      </c>
      <c r="O16" s="430" t="s">
        <v>67</v>
      </c>
      <c r="P16" s="420" t="s">
        <v>70</v>
      </c>
      <c r="Q16" s="744" t="s">
        <v>71</v>
      </c>
      <c r="R16" s="697"/>
      <c r="S16" s="431" t="s">
        <v>72</v>
      </c>
      <c r="T16" s="431" t="s">
        <v>73</v>
      </c>
      <c r="U16" s="431" t="s">
        <v>74</v>
      </c>
      <c r="V16" s="431" t="s">
        <v>75</v>
      </c>
      <c r="W16" s="431" t="s">
        <v>76</v>
      </c>
      <c r="X16" s="431" t="s">
        <v>77</v>
      </c>
      <c r="Y16" s="431" t="s">
        <v>322</v>
      </c>
    </row>
    <row r="17" spans="1:25" ht="13.5">
      <c r="A17" s="415" t="e">
        <f>"    本公司谨授权贵行可以从本公司("&amp;INDEX(基本信息!G:G,MATCH(I7,基本信息!D:D,0))&amp;"  )账户支取办理本询证函回函服务的费用。"</f>
        <v>#N/A</v>
      </c>
      <c r="B17" s="415"/>
      <c r="C17" s="415"/>
      <c r="D17" s="415"/>
      <c r="E17" s="415"/>
      <c r="F17" s="415"/>
      <c r="G17" s="415"/>
      <c r="H17" s="415"/>
      <c r="I17" s="415"/>
      <c r="J17" s="415"/>
      <c r="M17" s="428" t="s">
        <v>323</v>
      </c>
      <c r="N17" s="429">
        <v>32</v>
      </c>
      <c r="O17" s="430" t="s">
        <v>67</v>
      </c>
      <c r="P17" s="431" t="s">
        <v>80</v>
      </c>
      <c r="Q17" s="431" t="s">
        <v>71</v>
      </c>
      <c r="R17" s="431" t="s">
        <v>72</v>
      </c>
      <c r="S17" s="621" t="s">
        <v>75</v>
      </c>
      <c r="T17" s="621"/>
      <c r="U17" s="431" t="s">
        <v>81</v>
      </c>
      <c r="V17" s="431" t="s">
        <v>82</v>
      </c>
      <c r="W17" s="431" t="s">
        <v>73</v>
      </c>
      <c r="X17" s="431" t="s">
        <v>324</v>
      </c>
      <c r="Y17" s="431" t="s">
        <v>322</v>
      </c>
    </row>
    <row r="18" spans="1:25" ht="13.5">
      <c r="A18" s="415" t="s">
        <v>325</v>
      </c>
      <c r="B18" s="415"/>
      <c r="C18" s="415"/>
      <c r="D18" s="415"/>
      <c r="E18" s="415"/>
      <c r="F18" s="415"/>
      <c r="G18" s="415"/>
      <c r="H18" s="415"/>
      <c r="I18" s="415"/>
      <c r="J18" s="415"/>
      <c r="M18" s="428" t="s">
        <v>326</v>
      </c>
      <c r="N18" s="429">
        <v>38</v>
      </c>
      <c r="O18" s="430" t="s">
        <v>67</v>
      </c>
      <c r="P18" s="621" t="s">
        <v>70</v>
      </c>
      <c r="Q18" s="621"/>
      <c r="R18" s="621"/>
      <c r="S18" s="621" t="s">
        <v>71</v>
      </c>
      <c r="T18" s="621"/>
      <c r="U18" s="621"/>
      <c r="V18" s="621" t="s">
        <v>327</v>
      </c>
      <c r="W18" s="621"/>
      <c r="X18" s="621" t="s">
        <v>85</v>
      </c>
      <c r="Y18" s="621"/>
    </row>
    <row r="19" spans="1:25" ht="13.5">
      <c r="A19" s="415"/>
      <c r="B19" s="415"/>
      <c r="C19" s="415"/>
      <c r="D19" s="415"/>
      <c r="E19" s="415"/>
      <c r="F19" s="415"/>
      <c r="G19" s="415"/>
      <c r="H19" s="415"/>
      <c r="I19" s="415"/>
      <c r="J19" s="415"/>
      <c r="M19" s="428" t="s">
        <v>328</v>
      </c>
      <c r="N19" s="429">
        <v>44</v>
      </c>
      <c r="O19" s="430" t="s">
        <v>67</v>
      </c>
      <c r="P19" s="432" t="s">
        <v>70</v>
      </c>
      <c r="Q19" s="621" t="s">
        <v>71</v>
      </c>
      <c r="R19" s="621"/>
      <c r="S19" s="621" t="s">
        <v>87</v>
      </c>
      <c r="T19" s="621"/>
      <c r="U19" s="432" t="s">
        <v>329</v>
      </c>
      <c r="V19" s="432" t="s">
        <v>330</v>
      </c>
      <c r="W19" s="432" t="s">
        <v>331</v>
      </c>
      <c r="X19" s="432" t="s">
        <v>88</v>
      </c>
      <c r="Y19" s="432" t="s">
        <v>322</v>
      </c>
    </row>
    <row r="20" spans="1:25" ht="13.15">
      <c r="A20" s="418" t="s">
        <v>332</v>
      </c>
      <c r="B20" s="418"/>
      <c r="C20" s="418"/>
      <c r="D20" s="418"/>
      <c r="E20" s="418"/>
      <c r="F20" s="418"/>
      <c r="G20" s="418"/>
      <c r="H20" s="418"/>
      <c r="I20" s="418"/>
      <c r="J20" s="418"/>
      <c r="M20" s="428" t="s">
        <v>333</v>
      </c>
      <c r="N20" s="429">
        <v>51</v>
      </c>
      <c r="O20" s="430" t="s">
        <v>67</v>
      </c>
      <c r="P20" s="432" t="s">
        <v>70</v>
      </c>
      <c r="Q20" s="621" t="s">
        <v>71</v>
      </c>
      <c r="R20" s="621"/>
      <c r="S20" s="621" t="s">
        <v>90</v>
      </c>
      <c r="T20" s="621"/>
      <c r="U20" s="432" t="s">
        <v>329</v>
      </c>
      <c r="V20" s="432" t="s">
        <v>330</v>
      </c>
      <c r="W20" s="432" t="s">
        <v>75</v>
      </c>
      <c r="X20" s="432" t="s">
        <v>88</v>
      </c>
      <c r="Y20" s="432" t="s">
        <v>322</v>
      </c>
    </row>
    <row r="21" spans="1:25" ht="14" customHeight="1">
      <c r="A21" s="723" t="s">
        <v>70</v>
      </c>
      <c r="B21" s="728" t="s">
        <v>71</v>
      </c>
      <c r="C21" s="729"/>
      <c r="D21" s="624" t="s">
        <v>72</v>
      </c>
      <c r="E21" s="624" t="s">
        <v>73</v>
      </c>
      <c r="F21" s="624" t="s">
        <v>74</v>
      </c>
      <c r="G21" s="624" t="s">
        <v>75</v>
      </c>
      <c r="H21" s="624" t="s">
        <v>76</v>
      </c>
      <c r="I21" s="624" t="s">
        <v>77</v>
      </c>
      <c r="J21" s="624" t="s">
        <v>322</v>
      </c>
      <c r="M21" s="428" t="s">
        <v>334</v>
      </c>
      <c r="N21" s="429">
        <v>59</v>
      </c>
      <c r="O21" s="430" t="s">
        <v>67</v>
      </c>
      <c r="P21" s="621" t="s">
        <v>92</v>
      </c>
      <c r="Q21" s="621"/>
      <c r="R21" s="621" t="s">
        <v>93</v>
      </c>
      <c r="S21" s="621"/>
      <c r="T21" s="621" t="s">
        <v>98</v>
      </c>
      <c r="U21" s="621"/>
      <c r="V21" s="432" t="s">
        <v>95</v>
      </c>
      <c r="W21" s="621" t="s">
        <v>96</v>
      </c>
      <c r="X21" s="621"/>
      <c r="Y21" s="432" t="s">
        <v>322</v>
      </c>
    </row>
    <row r="22" spans="1:25" ht="13.15">
      <c r="A22" s="724"/>
      <c r="B22" s="730"/>
      <c r="C22" s="731"/>
      <c r="D22" s="624"/>
      <c r="E22" s="624"/>
      <c r="F22" s="624"/>
      <c r="G22" s="624"/>
      <c r="H22" s="624"/>
      <c r="I22" s="624"/>
      <c r="J22" s="624"/>
      <c r="M22" s="428" t="s">
        <v>335</v>
      </c>
      <c r="N22" s="429">
        <v>66</v>
      </c>
      <c r="O22" s="430" t="s">
        <v>67</v>
      </c>
      <c r="P22" s="54" t="s">
        <v>92</v>
      </c>
      <c r="Q22" s="615" t="s">
        <v>93</v>
      </c>
      <c r="R22" s="615"/>
      <c r="S22" s="615" t="s">
        <v>98</v>
      </c>
      <c r="T22" s="615"/>
      <c r="U22" s="54" t="s">
        <v>95</v>
      </c>
      <c r="V22" s="615" t="s">
        <v>96</v>
      </c>
      <c r="W22" s="615"/>
      <c r="X22" s="615" t="s">
        <v>78</v>
      </c>
      <c r="Y22" s="615"/>
    </row>
    <row r="23" spans="1:25" ht="13.15">
      <c r="A23" s="420"/>
      <c r="B23" s="698"/>
      <c r="C23" s="700"/>
      <c r="D23" s="421"/>
      <c r="E23" s="421"/>
      <c r="F23" s="421"/>
      <c r="G23" s="421"/>
      <c r="H23" s="421"/>
      <c r="I23" s="421"/>
      <c r="J23" s="421"/>
      <c r="M23" s="177" t="s">
        <v>336</v>
      </c>
      <c r="N23" s="429">
        <v>72</v>
      </c>
      <c r="O23" s="430" t="s">
        <v>67</v>
      </c>
      <c r="P23" s="621" t="s">
        <v>100</v>
      </c>
      <c r="Q23" s="621"/>
      <c r="R23" s="621" t="s">
        <v>101</v>
      </c>
      <c r="S23" s="621"/>
      <c r="T23" s="621" t="s">
        <v>102</v>
      </c>
      <c r="U23" s="621"/>
      <c r="V23" s="621" t="s">
        <v>103</v>
      </c>
      <c r="W23" s="621"/>
      <c r="X23" s="432" t="s">
        <v>104</v>
      </c>
      <c r="Y23" s="432" t="s">
        <v>105</v>
      </c>
    </row>
    <row r="24" spans="1:25" ht="13.15">
      <c r="A24" s="420"/>
      <c r="B24" s="698"/>
      <c r="C24" s="700"/>
      <c r="D24" s="421"/>
      <c r="E24" s="421"/>
      <c r="F24" s="421"/>
      <c r="G24" s="421"/>
      <c r="H24" s="421"/>
      <c r="I24" s="421"/>
      <c r="J24" s="421"/>
      <c r="M24" s="177" t="s">
        <v>337</v>
      </c>
      <c r="N24" s="429">
        <v>79</v>
      </c>
      <c r="O24" s="430" t="s">
        <v>67</v>
      </c>
      <c r="P24" s="431" t="s">
        <v>107</v>
      </c>
      <c r="Q24" s="431" t="s">
        <v>108</v>
      </c>
      <c r="R24" s="431" t="s">
        <v>109</v>
      </c>
      <c r="S24" s="621" t="s">
        <v>103</v>
      </c>
      <c r="T24" s="621"/>
      <c r="U24" s="431" t="s">
        <v>104</v>
      </c>
      <c r="V24" s="431" t="s">
        <v>105</v>
      </c>
      <c r="W24" s="431" t="s">
        <v>110</v>
      </c>
      <c r="X24" s="431" t="s">
        <v>111</v>
      </c>
      <c r="Y24" s="431" t="s">
        <v>112</v>
      </c>
    </row>
    <row r="25" spans="1:25" ht="13.15">
      <c r="A25" s="732" t="s">
        <v>338</v>
      </c>
      <c r="B25" s="732"/>
      <c r="C25" s="732"/>
      <c r="D25" s="732"/>
      <c r="E25" s="732"/>
      <c r="F25" s="732"/>
      <c r="G25" s="732"/>
      <c r="H25" s="732"/>
      <c r="I25" s="732"/>
      <c r="J25" s="732"/>
      <c r="M25" s="177" t="s">
        <v>339</v>
      </c>
      <c r="N25" s="429">
        <v>85</v>
      </c>
      <c r="O25" s="430" t="s">
        <v>67</v>
      </c>
      <c r="P25" s="621" t="s">
        <v>107</v>
      </c>
      <c r="Q25" s="621"/>
      <c r="R25" s="621" t="s">
        <v>109</v>
      </c>
      <c r="S25" s="621"/>
      <c r="T25" s="621" t="s">
        <v>103</v>
      </c>
      <c r="U25" s="621"/>
      <c r="V25" s="621" t="s">
        <v>104</v>
      </c>
      <c r="W25" s="621"/>
      <c r="X25" s="621" t="s">
        <v>105</v>
      </c>
      <c r="Y25" s="621"/>
    </row>
    <row r="26" spans="1:25" ht="13.15">
      <c r="A26" s="733"/>
      <c r="B26" s="733"/>
      <c r="C26" s="733"/>
      <c r="D26" s="733"/>
      <c r="E26" s="733"/>
      <c r="F26" s="733"/>
      <c r="G26" s="733"/>
      <c r="H26" s="733"/>
      <c r="I26" s="733"/>
      <c r="J26" s="733"/>
      <c r="M26" s="177" t="s">
        <v>340</v>
      </c>
      <c r="N26" s="429">
        <v>91</v>
      </c>
      <c r="O26" s="430" t="s">
        <v>67</v>
      </c>
      <c r="P26" s="621" t="s">
        <v>115</v>
      </c>
      <c r="Q26" s="621"/>
      <c r="R26" s="621" t="s">
        <v>116</v>
      </c>
      <c r="S26" s="621"/>
      <c r="T26" s="621" t="s">
        <v>117</v>
      </c>
      <c r="U26" s="621"/>
      <c r="V26" s="621" t="s">
        <v>105</v>
      </c>
      <c r="W26" s="621"/>
      <c r="X26" s="621" t="s">
        <v>118</v>
      </c>
      <c r="Y26" s="736"/>
    </row>
    <row r="27" spans="1:25" ht="13.15">
      <c r="A27" s="733"/>
      <c r="B27" s="733"/>
      <c r="C27" s="733"/>
      <c r="D27" s="733"/>
      <c r="E27" s="733"/>
      <c r="F27" s="733"/>
      <c r="G27" s="733"/>
      <c r="H27" s="733"/>
      <c r="I27" s="733"/>
      <c r="J27" s="733"/>
      <c r="M27" s="433" t="s">
        <v>341</v>
      </c>
      <c r="N27" s="429">
        <v>97</v>
      </c>
      <c r="O27" s="430" t="s">
        <v>67</v>
      </c>
      <c r="P27" s="621" t="s">
        <v>342</v>
      </c>
      <c r="Q27" s="621"/>
      <c r="R27" s="621" t="s">
        <v>276</v>
      </c>
      <c r="S27" s="621"/>
      <c r="T27" s="621" t="s">
        <v>277</v>
      </c>
      <c r="U27" s="621"/>
      <c r="V27" s="621" t="s">
        <v>278</v>
      </c>
      <c r="W27" s="621"/>
      <c r="X27" s="432" t="s">
        <v>279</v>
      </c>
      <c r="Y27" s="432" t="s">
        <v>280</v>
      </c>
    </row>
    <row r="28" spans="1:25" ht="13.15">
      <c r="A28" s="418"/>
      <c r="M28" s="177" t="s">
        <v>343</v>
      </c>
      <c r="N28" s="429">
        <v>103</v>
      </c>
      <c r="O28" s="430" t="s">
        <v>67</v>
      </c>
      <c r="P28" s="621" t="s">
        <v>120</v>
      </c>
      <c r="Q28" s="621"/>
      <c r="R28" s="621"/>
      <c r="S28" s="621"/>
      <c r="T28" s="621" t="s">
        <v>121</v>
      </c>
      <c r="U28" s="621"/>
      <c r="V28" s="621" t="s">
        <v>344</v>
      </c>
      <c r="W28" s="621"/>
      <c r="X28" s="621" t="s">
        <v>345</v>
      </c>
      <c r="Y28" s="621"/>
    </row>
    <row r="29" spans="1:25" ht="13.15">
      <c r="A29" s="418" t="s">
        <v>346</v>
      </c>
      <c r="M29" s="177" t="s">
        <v>347</v>
      </c>
      <c r="N29" s="429">
        <v>109</v>
      </c>
      <c r="O29" s="430" t="s">
        <v>67</v>
      </c>
      <c r="P29" s="621" t="s">
        <v>125</v>
      </c>
      <c r="Q29" s="621"/>
      <c r="R29" s="621" t="s">
        <v>126</v>
      </c>
      <c r="S29" s="621"/>
      <c r="T29" s="621" t="s">
        <v>127</v>
      </c>
      <c r="U29" s="621"/>
      <c r="V29" s="621" t="s">
        <v>128</v>
      </c>
      <c r="W29" s="621"/>
      <c r="X29" s="432" t="s">
        <v>105</v>
      </c>
      <c r="Y29" s="432" t="s">
        <v>72</v>
      </c>
    </row>
    <row r="30" spans="1:25" ht="13.15">
      <c r="A30" s="723" t="s">
        <v>80</v>
      </c>
      <c r="B30" s="723" t="s">
        <v>71</v>
      </c>
      <c r="C30" s="723" t="s">
        <v>72</v>
      </c>
      <c r="D30" s="728" t="s">
        <v>75</v>
      </c>
      <c r="E30" s="729"/>
      <c r="F30" s="723" t="s">
        <v>81</v>
      </c>
      <c r="G30" s="723" t="s">
        <v>82</v>
      </c>
      <c r="H30" s="723" t="s">
        <v>73</v>
      </c>
      <c r="I30" s="723" t="s">
        <v>324</v>
      </c>
      <c r="J30" s="723" t="s">
        <v>322</v>
      </c>
      <c r="M30" s="177" t="s">
        <v>130</v>
      </c>
      <c r="N30" s="429">
        <v>114</v>
      </c>
      <c r="O30" s="430" t="s">
        <v>67</v>
      </c>
      <c r="P30" s="615" t="s">
        <v>130</v>
      </c>
      <c r="Q30" s="615"/>
      <c r="R30" s="615"/>
      <c r="S30" s="615"/>
      <c r="T30" s="615"/>
      <c r="U30" s="615"/>
      <c r="V30" s="615"/>
      <c r="W30" s="615"/>
      <c r="X30" s="615"/>
      <c r="Y30" s="615"/>
    </row>
    <row r="31" spans="1:25">
      <c r="A31" s="724"/>
      <c r="B31" s="724"/>
      <c r="C31" s="724"/>
      <c r="D31" s="730"/>
      <c r="E31" s="731"/>
      <c r="F31" s="724"/>
      <c r="G31" s="724"/>
      <c r="H31" s="724"/>
      <c r="I31" s="724"/>
      <c r="J31" s="724"/>
    </row>
    <row r="32" spans="1:25" ht="13.15">
      <c r="A32" s="419"/>
      <c r="B32" s="421"/>
      <c r="C32" s="421"/>
      <c r="D32" s="737"/>
      <c r="E32" s="738"/>
      <c r="F32" s="421"/>
      <c r="G32" s="421"/>
      <c r="H32" s="421"/>
      <c r="I32" s="421"/>
      <c r="J32" s="421"/>
    </row>
    <row r="33" spans="1:11" ht="13.15">
      <c r="A33" s="421"/>
      <c r="B33" s="421"/>
      <c r="C33" s="421"/>
      <c r="D33" s="737"/>
      <c r="E33" s="738"/>
      <c r="F33" s="421"/>
      <c r="G33" s="421"/>
      <c r="H33" s="421"/>
      <c r="I33" s="421"/>
      <c r="J33" s="421"/>
    </row>
    <row r="34" spans="1:11">
      <c r="A34" s="418" t="s">
        <v>348</v>
      </c>
    </row>
    <row r="36" spans="1:11">
      <c r="A36" s="418" t="s">
        <v>349</v>
      </c>
    </row>
    <row r="37" spans="1:11">
      <c r="A37" s="624" t="s">
        <v>70</v>
      </c>
      <c r="B37" s="624"/>
      <c r="C37" s="624"/>
      <c r="D37" s="624" t="s">
        <v>71</v>
      </c>
      <c r="E37" s="624"/>
      <c r="F37" s="624"/>
      <c r="G37" s="624" t="s">
        <v>327</v>
      </c>
      <c r="H37" s="624"/>
      <c r="I37" s="624" t="s">
        <v>85</v>
      </c>
      <c r="J37" s="624"/>
    </row>
    <row r="38" spans="1:11" ht="13.15">
      <c r="A38" s="624"/>
      <c r="B38" s="735"/>
      <c r="C38" s="735"/>
      <c r="D38" s="735"/>
      <c r="E38" s="735"/>
      <c r="F38" s="735"/>
      <c r="G38" s="735"/>
      <c r="H38" s="735"/>
      <c r="I38" s="735"/>
      <c r="J38" s="735"/>
      <c r="K38" s="434"/>
    </row>
    <row r="39" spans="1:11" ht="13.15">
      <c r="A39" s="735"/>
      <c r="B39" s="735"/>
      <c r="C39" s="735"/>
      <c r="D39" s="735"/>
      <c r="E39" s="735"/>
      <c r="F39" s="735"/>
      <c r="G39" s="735"/>
      <c r="H39" s="735"/>
      <c r="I39" s="735"/>
      <c r="J39" s="735"/>
    </row>
    <row r="40" spans="1:11">
      <c r="A40" s="418" t="s">
        <v>350</v>
      </c>
    </row>
    <row r="42" spans="1:11">
      <c r="A42" s="418" t="s">
        <v>351</v>
      </c>
    </row>
    <row r="43" spans="1:11" ht="13.5">
      <c r="A43" s="419" t="s">
        <v>70</v>
      </c>
      <c r="B43" s="624" t="s">
        <v>71</v>
      </c>
      <c r="C43" s="624"/>
      <c r="D43" s="624" t="s">
        <v>87</v>
      </c>
      <c r="E43" s="624"/>
      <c r="F43" s="419" t="s">
        <v>329</v>
      </c>
      <c r="G43" s="419" t="s">
        <v>330</v>
      </c>
      <c r="H43" s="419" t="s">
        <v>331</v>
      </c>
      <c r="I43" s="419" t="s">
        <v>88</v>
      </c>
      <c r="J43" s="419" t="s">
        <v>322</v>
      </c>
    </row>
    <row r="44" spans="1:11" ht="13.15">
      <c r="A44" s="419"/>
      <c r="B44" s="735"/>
      <c r="C44" s="735"/>
      <c r="D44" s="735"/>
      <c r="E44" s="735"/>
      <c r="F44" s="421"/>
      <c r="G44" s="421"/>
      <c r="H44" s="421"/>
      <c r="I44" s="435"/>
      <c r="J44" s="421"/>
    </row>
    <row r="45" spans="1:11" ht="13.15">
      <c r="A45" s="421"/>
      <c r="B45" s="735"/>
      <c r="C45" s="735"/>
      <c r="D45" s="735"/>
      <c r="E45" s="735"/>
      <c r="F45" s="421"/>
      <c r="G45" s="421"/>
      <c r="H45" s="421"/>
      <c r="I45" s="435"/>
      <c r="J45" s="421"/>
    </row>
    <row r="46" spans="1:11">
      <c r="A46" s="725" t="s">
        <v>352</v>
      </c>
      <c r="B46" s="725"/>
      <c r="C46" s="725"/>
      <c r="D46" s="725"/>
      <c r="E46" s="725"/>
      <c r="F46" s="725"/>
      <c r="G46" s="725"/>
      <c r="H46" s="725"/>
      <c r="I46" s="725"/>
      <c r="J46" s="725"/>
    </row>
    <row r="47" spans="1:11">
      <c r="A47" s="726"/>
      <c r="B47" s="726"/>
      <c r="C47" s="726"/>
      <c r="D47" s="726"/>
      <c r="E47" s="726"/>
      <c r="F47" s="726"/>
      <c r="G47" s="726"/>
      <c r="H47" s="726"/>
      <c r="I47" s="726"/>
      <c r="J47" s="726"/>
    </row>
    <row r="49" spans="1:10">
      <c r="A49" s="418" t="s">
        <v>353</v>
      </c>
    </row>
    <row r="50" spans="1:10" ht="13.5">
      <c r="A50" s="419" t="s">
        <v>70</v>
      </c>
      <c r="B50" s="624" t="s">
        <v>71</v>
      </c>
      <c r="C50" s="624"/>
      <c r="D50" s="698" t="s">
        <v>90</v>
      </c>
      <c r="E50" s="700"/>
      <c r="F50" s="419" t="s">
        <v>329</v>
      </c>
      <c r="G50" s="419" t="s">
        <v>330</v>
      </c>
      <c r="H50" s="419" t="s">
        <v>75</v>
      </c>
      <c r="I50" s="419" t="s">
        <v>88</v>
      </c>
      <c r="J50" s="419" t="s">
        <v>322</v>
      </c>
    </row>
    <row r="51" spans="1:10" ht="13.15">
      <c r="A51" s="419"/>
      <c r="B51" s="735"/>
      <c r="C51" s="735"/>
      <c r="D51" s="737"/>
      <c r="E51" s="738"/>
      <c r="F51" s="421"/>
      <c r="G51" s="421"/>
      <c r="H51" s="421"/>
      <c r="I51" s="435"/>
      <c r="J51" s="421"/>
    </row>
    <row r="52" spans="1:10" ht="13.15">
      <c r="A52" s="421"/>
      <c r="B52" s="735"/>
      <c r="C52" s="735"/>
      <c r="D52" s="737"/>
      <c r="E52" s="738"/>
      <c r="F52" s="421"/>
      <c r="G52" s="421"/>
      <c r="H52" s="421"/>
      <c r="I52" s="435"/>
      <c r="J52" s="421"/>
    </row>
    <row r="53" spans="1:10">
      <c r="A53" s="725" t="s">
        <v>354</v>
      </c>
      <c r="B53" s="725"/>
      <c r="C53" s="725"/>
      <c r="D53" s="725"/>
      <c r="E53" s="725"/>
      <c r="F53" s="725"/>
      <c r="G53" s="725"/>
      <c r="H53" s="725"/>
      <c r="I53" s="725"/>
      <c r="J53" s="725"/>
    </row>
    <row r="54" spans="1:10">
      <c r="A54" s="726"/>
      <c r="B54" s="726"/>
      <c r="C54" s="726"/>
      <c r="D54" s="726"/>
      <c r="E54" s="726"/>
      <c r="F54" s="726"/>
      <c r="G54" s="726"/>
      <c r="H54" s="726"/>
      <c r="I54" s="726"/>
      <c r="J54" s="726"/>
    </row>
    <row r="55" spans="1:10">
      <c r="A55" s="422"/>
      <c r="B55" s="422"/>
      <c r="C55" s="422"/>
      <c r="D55" s="422"/>
      <c r="E55" s="422"/>
      <c r="F55" s="422"/>
      <c r="G55" s="422"/>
      <c r="H55" s="422"/>
      <c r="I55" s="422"/>
      <c r="J55" s="422"/>
    </row>
    <row r="56" spans="1:10">
      <c r="A56" s="418" t="s">
        <v>355</v>
      </c>
    </row>
    <row r="57" spans="1:10">
      <c r="A57" s="418" t="s">
        <v>356</v>
      </c>
    </row>
    <row r="58" spans="1:10" ht="13.5">
      <c r="A58" s="624" t="s">
        <v>92</v>
      </c>
      <c r="B58" s="624"/>
      <c r="C58" s="624" t="s">
        <v>93</v>
      </c>
      <c r="D58" s="624"/>
      <c r="E58" s="624" t="s">
        <v>94</v>
      </c>
      <c r="F58" s="624"/>
      <c r="G58" s="419" t="s">
        <v>95</v>
      </c>
      <c r="H58" s="624" t="s">
        <v>96</v>
      </c>
      <c r="I58" s="624"/>
      <c r="J58" s="419" t="s">
        <v>322</v>
      </c>
    </row>
    <row r="59" spans="1:10" ht="13.15">
      <c r="A59" s="624"/>
      <c r="B59" s="735"/>
      <c r="C59" s="735"/>
      <c r="D59" s="735"/>
      <c r="E59" s="735"/>
      <c r="F59" s="735"/>
      <c r="G59" s="421"/>
      <c r="H59" s="735"/>
      <c r="I59" s="735"/>
      <c r="J59" s="421"/>
    </row>
    <row r="60" spans="1:10" ht="13.15">
      <c r="A60" s="735"/>
      <c r="B60" s="735"/>
      <c r="C60" s="735"/>
      <c r="D60" s="735"/>
      <c r="E60" s="735"/>
      <c r="F60" s="735"/>
      <c r="G60" s="421"/>
      <c r="H60" s="735"/>
      <c r="I60" s="735"/>
      <c r="J60" s="421"/>
    </row>
    <row r="61" spans="1:10">
      <c r="A61" s="732" t="s">
        <v>357</v>
      </c>
      <c r="B61" s="732"/>
      <c r="C61" s="732"/>
      <c r="D61" s="732"/>
      <c r="E61" s="732"/>
      <c r="F61" s="732"/>
      <c r="G61" s="732"/>
      <c r="H61" s="732"/>
      <c r="I61" s="732"/>
      <c r="J61" s="732"/>
    </row>
    <row r="62" spans="1:10">
      <c r="A62" s="733"/>
      <c r="B62" s="733"/>
      <c r="C62" s="733"/>
      <c r="D62" s="733"/>
      <c r="E62" s="733"/>
      <c r="F62" s="733"/>
      <c r="G62" s="733"/>
      <c r="H62" s="733"/>
      <c r="I62" s="733"/>
      <c r="J62" s="733"/>
    </row>
    <row r="64" spans="1:10">
      <c r="A64" s="418" t="s">
        <v>358</v>
      </c>
    </row>
    <row r="65" spans="1:10" ht="13.5">
      <c r="A65" s="698" t="s">
        <v>92</v>
      </c>
      <c r="B65" s="700"/>
      <c r="C65" s="624" t="s">
        <v>93</v>
      </c>
      <c r="D65" s="624"/>
      <c r="E65" s="624" t="s">
        <v>98</v>
      </c>
      <c r="F65" s="624"/>
      <c r="G65" s="419" t="s">
        <v>95</v>
      </c>
      <c r="H65" s="624" t="s">
        <v>96</v>
      </c>
      <c r="I65" s="624"/>
      <c r="J65" s="419" t="s">
        <v>322</v>
      </c>
    </row>
    <row r="66" spans="1:10" ht="13.15">
      <c r="A66" s="624"/>
      <c r="B66" s="735"/>
      <c r="C66" s="735"/>
      <c r="D66" s="735"/>
      <c r="E66" s="735"/>
      <c r="F66" s="735"/>
      <c r="G66" s="421"/>
      <c r="H66" s="735"/>
      <c r="I66" s="735"/>
      <c r="J66" s="421"/>
    </row>
    <row r="67" spans="1:10" ht="13.15">
      <c r="A67" s="735"/>
      <c r="B67" s="735"/>
      <c r="C67" s="735"/>
      <c r="D67" s="735"/>
      <c r="E67" s="735"/>
      <c r="F67" s="735"/>
      <c r="G67" s="421"/>
      <c r="H67" s="735"/>
      <c r="I67" s="735"/>
      <c r="J67" s="421"/>
    </row>
    <row r="68" spans="1:10">
      <c r="A68" s="418" t="s">
        <v>359</v>
      </c>
    </row>
    <row r="70" spans="1:10">
      <c r="A70" s="418" t="s">
        <v>360</v>
      </c>
    </row>
    <row r="71" spans="1:10">
      <c r="A71" s="624" t="s">
        <v>100</v>
      </c>
      <c r="B71" s="624"/>
      <c r="C71" s="624" t="s">
        <v>101</v>
      </c>
      <c r="D71" s="624"/>
      <c r="E71" s="624" t="s">
        <v>102</v>
      </c>
      <c r="F71" s="624"/>
      <c r="G71" s="624" t="s">
        <v>103</v>
      </c>
      <c r="H71" s="624"/>
      <c r="I71" s="419" t="s">
        <v>104</v>
      </c>
      <c r="J71" s="419" t="s">
        <v>105</v>
      </c>
    </row>
    <row r="72" spans="1:10" ht="13.15">
      <c r="A72" s="624"/>
      <c r="B72" s="735"/>
      <c r="C72" s="735"/>
      <c r="D72" s="735"/>
      <c r="E72" s="735"/>
      <c r="F72" s="735"/>
      <c r="G72" s="735"/>
      <c r="H72" s="735"/>
      <c r="I72" s="421"/>
      <c r="J72" s="421"/>
    </row>
    <row r="73" spans="1:10" ht="13.15">
      <c r="A73" s="735"/>
      <c r="B73" s="735"/>
      <c r="C73" s="735"/>
      <c r="D73" s="735"/>
      <c r="E73" s="735"/>
      <c r="F73" s="735"/>
      <c r="G73" s="735"/>
      <c r="H73" s="735"/>
      <c r="I73" s="421"/>
      <c r="J73" s="421"/>
    </row>
    <row r="74" spans="1:10">
      <c r="A74" s="418" t="s">
        <v>361</v>
      </c>
    </row>
    <row r="76" spans="1:10">
      <c r="A76" s="418" t="s">
        <v>362</v>
      </c>
    </row>
    <row r="77" spans="1:10">
      <c r="A77" s="723" t="s">
        <v>107</v>
      </c>
      <c r="B77" s="723" t="s">
        <v>108</v>
      </c>
      <c r="C77" s="723" t="s">
        <v>109</v>
      </c>
      <c r="D77" s="728" t="s">
        <v>103</v>
      </c>
      <c r="E77" s="729"/>
      <c r="F77" s="723" t="s">
        <v>104</v>
      </c>
      <c r="G77" s="723" t="s">
        <v>105</v>
      </c>
      <c r="H77" s="723" t="s">
        <v>110</v>
      </c>
      <c r="I77" s="723" t="s">
        <v>111</v>
      </c>
      <c r="J77" s="723" t="s">
        <v>112</v>
      </c>
    </row>
    <row r="78" spans="1:10">
      <c r="A78" s="724"/>
      <c r="B78" s="724"/>
      <c r="C78" s="724"/>
      <c r="D78" s="730"/>
      <c r="E78" s="731"/>
      <c r="F78" s="724"/>
      <c r="G78" s="724"/>
      <c r="H78" s="724"/>
      <c r="I78" s="724"/>
      <c r="J78" s="724"/>
    </row>
    <row r="79" spans="1:10" ht="13.15">
      <c r="A79" s="419"/>
      <c r="B79" s="421"/>
      <c r="C79" s="421"/>
      <c r="D79" s="735"/>
      <c r="E79" s="735"/>
      <c r="F79" s="421"/>
      <c r="G79" s="421"/>
      <c r="H79" s="421"/>
      <c r="I79" s="421"/>
      <c r="J79" s="421"/>
    </row>
    <row r="80" spans="1:10" ht="13.15">
      <c r="A80" s="421"/>
      <c r="B80" s="421"/>
      <c r="C80" s="421"/>
      <c r="D80" s="735"/>
      <c r="E80" s="735"/>
      <c r="F80" s="421"/>
      <c r="G80" s="421"/>
      <c r="H80" s="421"/>
      <c r="I80" s="421"/>
      <c r="J80" s="421"/>
    </row>
    <row r="81" spans="1:10">
      <c r="A81" s="418" t="s">
        <v>363</v>
      </c>
    </row>
    <row r="83" spans="1:10">
      <c r="A83" s="418" t="s">
        <v>364</v>
      </c>
    </row>
    <row r="84" spans="1:10">
      <c r="A84" s="624" t="s">
        <v>107</v>
      </c>
      <c r="B84" s="624"/>
      <c r="C84" s="624" t="s">
        <v>109</v>
      </c>
      <c r="D84" s="624"/>
      <c r="E84" s="624" t="s">
        <v>103</v>
      </c>
      <c r="F84" s="624"/>
      <c r="G84" s="624" t="s">
        <v>104</v>
      </c>
      <c r="H84" s="624"/>
      <c r="I84" s="624" t="s">
        <v>105</v>
      </c>
      <c r="J84" s="624"/>
    </row>
    <row r="85" spans="1:10" ht="13.15">
      <c r="A85" s="624"/>
      <c r="B85" s="735"/>
      <c r="C85" s="735"/>
      <c r="D85" s="735"/>
      <c r="E85" s="735"/>
      <c r="F85" s="735"/>
      <c r="G85" s="735"/>
      <c r="H85" s="735"/>
      <c r="I85" s="735"/>
      <c r="J85" s="735"/>
    </row>
    <row r="86" spans="1:10" ht="13.15">
      <c r="A86" s="735"/>
      <c r="B86" s="735"/>
      <c r="C86" s="735"/>
      <c r="D86" s="735"/>
      <c r="E86" s="735"/>
      <c r="F86" s="735"/>
      <c r="G86" s="735"/>
      <c r="H86" s="735"/>
      <c r="I86" s="735"/>
      <c r="J86" s="735"/>
    </row>
    <row r="87" spans="1:10">
      <c r="A87" s="418" t="s">
        <v>365</v>
      </c>
    </row>
    <row r="89" spans="1:10">
      <c r="A89" s="418" t="s">
        <v>366</v>
      </c>
    </row>
    <row r="90" spans="1:10">
      <c r="A90" s="624" t="s">
        <v>115</v>
      </c>
      <c r="B90" s="624"/>
      <c r="C90" s="624" t="s">
        <v>116</v>
      </c>
      <c r="D90" s="624"/>
      <c r="E90" s="624" t="s">
        <v>117</v>
      </c>
      <c r="F90" s="624"/>
      <c r="G90" s="624" t="s">
        <v>105</v>
      </c>
      <c r="H90" s="624"/>
      <c r="I90" s="624" t="s">
        <v>118</v>
      </c>
      <c r="J90" s="736"/>
    </row>
    <row r="91" spans="1:10" ht="13.15">
      <c r="A91" s="624"/>
      <c r="B91" s="735"/>
      <c r="C91" s="735"/>
      <c r="D91" s="735"/>
      <c r="E91" s="735"/>
      <c r="F91" s="735"/>
      <c r="G91" s="735"/>
      <c r="H91" s="735"/>
      <c r="I91" s="735"/>
      <c r="J91" s="735"/>
    </row>
    <row r="92" spans="1:10" ht="13.15">
      <c r="A92" s="735"/>
      <c r="B92" s="735"/>
      <c r="C92" s="735"/>
      <c r="D92" s="735"/>
      <c r="E92" s="735"/>
      <c r="F92" s="735"/>
      <c r="G92" s="735"/>
      <c r="H92" s="735"/>
      <c r="I92" s="735"/>
      <c r="J92" s="735"/>
    </row>
    <row r="93" spans="1:10">
      <c r="A93" s="418" t="s">
        <v>367</v>
      </c>
    </row>
    <row r="95" spans="1:10">
      <c r="A95" s="418" t="s">
        <v>368</v>
      </c>
    </row>
    <row r="96" spans="1:10">
      <c r="A96" s="624" t="s">
        <v>342</v>
      </c>
      <c r="B96" s="624"/>
      <c r="C96" s="624" t="s">
        <v>276</v>
      </c>
      <c r="D96" s="624"/>
      <c r="E96" s="624" t="s">
        <v>277</v>
      </c>
      <c r="F96" s="624"/>
      <c r="G96" s="624" t="s">
        <v>278</v>
      </c>
      <c r="H96" s="624"/>
      <c r="I96" s="419" t="s">
        <v>279</v>
      </c>
      <c r="J96" s="419" t="s">
        <v>280</v>
      </c>
    </row>
    <row r="97" spans="1:10" ht="13.15">
      <c r="A97" s="624" t="s">
        <v>281</v>
      </c>
      <c r="B97" s="624"/>
      <c r="C97" s="624"/>
      <c r="D97" s="735"/>
      <c r="E97" s="735"/>
      <c r="F97" s="735"/>
      <c r="G97" s="735"/>
      <c r="H97" s="735"/>
      <c r="I97" s="421"/>
      <c r="J97" s="421"/>
    </row>
    <row r="98" spans="1:10" ht="13.15">
      <c r="A98" s="624" t="s">
        <v>282</v>
      </c>
      <c r="B98" s="624"/>
      <c r="C98" s="624"/>
      <c r="D98" s="735"/>
      <c r="E98" s="735"/>
      <c r="F98" s="735"/>
      <c r="G98" s="735"/>
      <c r="H98" s="735"/>
      <c r="I98" s="421"/>
      <c r="J98" s="421"/>
    </row>
    <row r="99" spans="1:10">
      <c r="A99" s="418" t="s">
        <v>369</v>
      </c>
      <c r="B99" s="418"/>
      <c r="C99" s="418"/>
      <c r="D99" s="418"/>
      <c r="E99" s="418"/>
      <c r="F99" s="418"/>
    </row>
    <row r="100" spans="1:10">
      <c r="A100" s="418"/>
      <c r="B100" s="418"/>
      <c r="C100" s="418"/>
      <c r="D100" s="418"/>
      <c r="E100" s="418"/>
      <c r="F100" s="418"/>
    </row>
    <row r="101" spans="1:10">
      <c r="A101" s="418" t="s">
        <v>370</v>
      </c>
    </row>
    <row r="102" spans="1:10">
      <c r="A102" s="624" t="s">
        <v>120</v>
      </c>
      <c r="B102" s="624"/>
      <c r="C102" s="624"/>
      <c r="D102" s="624"/>
      <c r="E102" s="624" t="s">
        <v>121</v>
      </c>
      <c r="F102" s="624"/>
      <c r="G102" s="624" t="s">
        <v>344</v>
      </c>
      <c r="H102" s="624"/>
      <c r="I102" s="624" t="s">
        <v>345</v>
      </c>
      <c r="J102" s="624"/>
    </row>
    <row r="103" spans="1:10" ht="13.15">
      <c r="A103" s="624"/>
      <c r="B103" s="735"/>
      <c r="C103" s="735"/>
      <c r="D103" s="735"/>
      <c r="E103" s="735"/>
      <c r="F103" s="735"/>
      <c r="G103" s="735"/>
      <c r="H103" s="735"/>
      <c r="I103" s="735"/>
      <c r="J103" s="735"/>
    </row>
    <row r="104" spans="1:10" ht="13.15">
      <c r="A104" s="735"/>
      <c r="B104" s="735"/>
      <c r="C104" s="735"/>
      <c r="D104" s="735"/>
      <c r="E104" s="735"/>
      <c r="F104" s="735"/>
      <c r="G104" s="735"/>
      <c r="H104" s="735"/>
      <c r="I104" s="735"/>
      <c r="J104" s="735"/>
    </row>
    <row r="105" spans="1:10">
      <c r="A105" s="418" t="s">
        <v>371</v>
      </c>
    </row>
    <row r="107" spans="1:10">
      <c r="A107" s="418" t="s">
        <v>372</v>
      </c>
    </row>
    <row r="108" spans="1:10">
      <c r="A108" s="624" t="s">
        <v>125</v>
      </c>
      <c r="B108" s="624"/>
      <c r="C108" s="624" t="s">
        <v>126</v>
      </c>
      <c r="D108" s="624"/>
      <c r="E108" s="624" t="s">
        <v>127</v>
      </c>
      <c r="F108" s="624"/>
      <c r="G108" s="624" t="s">
        <v>128</v>
      </c>
      <c r="H108" s="624"/>
      <c r="I108" s="419" t="s">
        <v>105</v>
      </c>
      <c r="J108" s="419" t="s">
        <v>72</v>
      </c>
    </row>
    <row r="109" spans="1:10" ht="13.15">
      <c r="A109" s="624"/>
      <c r="B109" s="624"/>
      <c r="C109" s="735"/>
      <c r="D109" s="735"/>
      <c r="E109" s="735"/>
      <c r="F109" s="735"/>
      <c r="G109" s="735"/>
      <c r="H109" s="735"/>
      <c r="I109" s="421"/>
      <c r="J109" s="421"/>
    </row>
    <row r="110" spans="1:10" ht="13.15">
      <c r="A110" s="624"/>
      <c r="B110" s="624"/>
      <c r="C110" s="735"/>
      <c r="D110" s="735"/>
      <c r="E110" s="735"/>
      <c r="F110" s="735"/>
      <c r="G110" s="735"/>
      <c r="H110" s="735"/>
      <c r="I110" s="421"/>
      <c r="J110" s="421"/>
    </row>
    <row r="111" spans="1:10">
      <c r="A111" s="418" t="s">
        <v>373</v>
      </c>
      <c r="B111" s="418"/>
      <c r="C111" s="418"/>
      <c r="D111" s="418"/>
      <c r="E111" s="418"/>
      <c r="F111" s="418"/>
      <c r="G111" s="418"/>
      <c r="H111" s="418"/>
      <c r="I111" s="418"/>
      <c r="J111" s="418"/>
    </row>
    <row r="112" spans="1:10">
      <c r="A112" s="418"/>
      <c r="B112" s="418"/>
      <c r="C112" s="418"/>
      <c r="D112" s="418"/>
      <c r="E112" s="418"/>
      <c r="F112" s="418"/>
      <c r="G112" s="418"/>
      <c r="H112" s="418"/>
      <c r="I112" s="418"/>
      <c r="J112" s="418"/>
    </row>
    <row r="113" spans="1:10">
      <c r="A113" s="418" t="s">
        <v>374</v>
      </c>
      <c r="B113" s="418"/>
      <c r="C113" s="418"/>
      <c r="D113" s="418"/>
      <c r="E113" s="418"/>
      <c r="F113" s="418"/>
      <c r="G113" s="418"/>
      <c r="H113" s="418"/>
      <c r="I113" s="418"/>
      <c r="J113" s="418"/>
    </row>
    <row r="114" spans="1:10">
      <c r="A114" s="698" t="s">
        <v>247</v>
      </c>
      <c r="B114" s="699"/>
      <c r="C114" s="699"/>
      <c r="D114" s="699"/>
      <c r="E114" s="699"/>
      <c r="F114" s="699"/>
      <c r="G114" s="699"/>
      <c r="H114" s="699"/>
      <c r="I114" s="699"/>
      <c r="J114" s="700"/>
    </row>
    <row r="115" spans="1:10">
      <c r="A115" s="725" t="s">
        <v>375</v>
      </c>
      <c r="B115" s="725"/>
      <c r="C115" s="725"/>
      <c r="D115" s="725"/>
      <c r="E115" s="725"/>
      <c r="F115" s="725"/>
      <c r="G115" s="725"/>
      <c r="H115" s="725"/>
      <c r="I115" s="725"/>
      <c r="J115" s="725"/>
    </row>
    <row r="116" spans="1:10">
      <c r="A116" s="726"/>
      <c r="B116" s="726"/>
      <c r="C116" s="726"/>
      <c r="D116" s="726"/>
      <c r="E116" s="726"/>
      <c r="F116" s="726"/>
      <c r="G116" s="726"/>
      <c r="H116" s="726"/>
      <c r="I116" s="726"/>
      <c r="J116" s="726"/>
    </row>
    <row r="119" spans="1:10">
      <c r="I119" s="418" t="s">
        <v>289</v>
      </c>
    </row>
    <row r="120" spans="1:10">
      <c r="H120" s="727" t="e">
        <v>#N/A</v>
      </c>
      <c r="I120" s="727"/>
      <c r="J120" s="727"/>
    </row>
    <row r="121" spans="1:10">
      <c r="G121" s="438"/>
      <c r="H121" s="727"/>
      <c r="I121" s="727"/>
      <c r="J121" s="727"/>
    </row>
    <row r="122" spans="1:10">
      <c r="H122" s="734">
        <v>43835</v>
      </c>
      <c r="I122" s="734"/>
      <c r="J122" s="734"/>
    </row>
    <row r="123" spans="1:10">
      <c r="H123" s="418" t="s">
        <v>298</v>
      </c>
      <c r="I123" s="439"/>
    </row>
    <row r="124" spans="1:10">
      <c r="H124" s="418" t="s">
        <v>376</v>
      </c>
      <c r="I124" s="439"/>
    </row>
    <row r="125" spans="1:10">
      <c r="H125" s="418" t="s">
        <v>377</v>
      </c>
      <c r="I125" s="439"/>
    </row>
    <row r="126" spans="1:10">
      <c r="I126" s="439"/>
    </row>
    <row r="132" spans="1:10">
      <c r="A132" s="440"/>
      <c r="B132" s="440"/>
      <c r="C132" s="440"/>
      <c r="D132" s="440"/>
      <c r="E132" s="413" t="s">
        <v>378</v>
      </c>
      <c r="G132" s="440"/>
      <c r="H132" s="440"/>
      <c r="I132" s="440"/>
      <c r="J132" s="440"/>
    </row>
    <row r="134" spans="1:10">
      <c r="A134" s="418" t="s">
        <v>379</v>
      </c>
    </row>
    <row r="135" spans="1:10">
      <c r="A135" s="441" t="s">
        <v>380</v>
      </c>
      <c r="B135" s="442"/>
      <c r="C135" s="442"/>
      <c r="D135" s="442"/>
      <c r="E135" s="442"/>
      <c r="F135" s="442"/>
      <c r="G135" s="443"/>
      <c r="H135" s="443"/>
      <c r="I135" s="443"/>
      <c r="J135" s="451"/>
    </row>
    <row r="136" spans="1:10">
      <c r="A136" s="444"/>
      <c r="B136" s="418"/>
      <c r="C136" s="418"/>
      <c r="D136" s="418"/>
      <c r="E136" s="418"/>
      <c r="F136" s="418"/>
      <c r="G136" s="445"/>
      <c r="H136" s="445"/>
      <c r="I136" s="445"/>
      <c r="J136" s="452"/>
    </row>
    <row r="137" spans="1:10">
      <c r="A137" s="446"/>
      <c r="J137" s="453"/>
    </row>
    <row r="138" spans="1:10">
      <c r="A138" s="446"/>
      <c r="J138" s="453"/>
    </row>
    <row r="139" spans="1:10">
      <c r="A139" s="446"/>
      <c r="J139" s="453"/>
    </row>
    <row r="140" spans="1:10">
      <c r="A140" s="446"/>
      <c r="J140" s="453"/>
    </row>
    <row r="141" spans="1:10">
      <c r="A141" s="446"/>
      <c r="J141" s="453"/>
    </row>
    <row r="142" spans="1:10">
      <c r="A142" s="446"/>
      <c r="J142" s="453"/>
    </row>
    <row r="143" spans="1:10">
      <c r="A143" s="444"/>
      <c r="B143" s="418"/>
      <c r="C143" s="418"/>
      <c r="D143" s="418"/>
      <c r="E143" s="418"/>
      <c r="F143" s="418"/>
      <c r="G143" s="418"/>
      <c r="H143" s="418"/>
      <c r="I143" s="418"/>
      <c r="J143" s="454"/>
    </row>
    <row r="144" spans="1:10">
      <c r="A144" s="444"/>
      <c r="B144" s="418"/>
      <c r="C144" s="418" t="s">
        <v>381</v>
      </c>
      <c r="D144" s="418"/>
      <c r="E144" s="447" t="s">
        <v>382</v>
      </c>
      <c r="F144" s="418"/>
      <c r="G144" s="418" t="s">
        <v>383</v>
      </c>
      <c r="H144" s="418"/>
      <c r="I144" s="445" t="s">
        <v>301</v>
      </c>
      <c r="J144" s="454"/>
    </row>
    <row r="145" spans="1:10">
      <c r="A145" s="444"/>
      <c r="B145" s="418"/>
      <c r="C145" s="418"/>
      <c r="D145" s="418"/>
      <c r="E145" s="418" t="s">
        <v>384</v>
      </c>
      <c r="F145" s="418"/>
      <c r="G145" s="418" t="s">
        <v>383</v>
      </c>
      <c r="H145" s="418"/>
      <c r="I145" s="445" t="s">
        <v>301</v>
      </c>
      <c r="J145" s="454"/>
    </row>
    <row r="146" spans="1:10">
      <c r="A146" s="444"/>
      <c r="B146" s="418"/>
      <c r="C146" s="418"/>
      <c r="D146" s="418"/>
      <c r="E146" s="448"/>
      <c r="F146" s="418"/>
      <c r="G146" s="418"/>
      <c r="H146" s="418"/>
      <c r="I146" s="418"/>
      <c r="J146" s="454"/>
    </row>
    <row r="147" spans="1:10">
      <c r="A147" s="444"/>
      <c r="B147" s="418"/>
      <c r="C147" s="418"/>
      <c r="D147" s="418"/>
      <c r="E147" s="448"/>
      <c r="F147" s="418"/>
      <c r="G147" s="418"/>
      <c r="H147" s="418"/>
      <c r="I147" s="448" t="s">
        <v>296</v>
      </c>
      <c r="J147" s="454"/>
    </row>
    <row r="148" spans="1:10">
      <c r="A148" s="444"/>
      <c r="B148" s="418"/>
      <c r="C148" s="418"/>
      <c r="D148" s="418"/>
      <c r="E148" s="418"/>
      <c r="F148" s="418"/>
      <c r="G148" s="418"/>
      <c r="H148" s="418"/>
      <c r="I148" s="418"/>
      <c r="J148" s="454"/>
    </row>
    <row r="149" spans="1:10">
      <c r="A149" s="449"/>
      <c r="B149" s="450"/>
      <c r="C149" s="450"/>
      <c r="D149" s="450"/>
      <c r="E149" s="450"/>
      <c r="F149" s="450"/>
      <c r="G149" s="450"/>
      <c r="H149" s="450"/>
      <c r="I149" s="455"/>
      <c r="J149" s="456"/>
    </row>
    <row r="150" spans="1:10">
      <c r="A150" s="441" t="s">
        <v>385</v>
      </c>
      <c r="B150" s="442"/>
      <c r="C150" s="442"/>
      <c r="D150" s="442"/>
      <c r="E150" s="442"/>
      <c r="F150" s="442"/>
      <c r="G150" s="443"/>
      <c r="H150" s="443"/>
      <c r="I150" s="443"/>
      <c r="J150" s="451"/>
    </row>
    <row r="151" spans="1:10">
      <c r="A151" s="444"/>
      <c r="B151" s="418"/>
      <c r="C151" s="418"/>
      <c r="D151" s="418"/>
      <c r="E151" s="418"/>
      <c r="F151" s="418"/>
      <c r="G151" s="445"/>
      <c r="H151" s="445"/>
      <c r="I151" s="445"/>
      <c r="J151" s="452"/>
    </row>
    <row r="152" spans="1:10">
      <c r="A152" s="444"/>
      <c r="B152" s="418"/>
      <c r="C152" s="418"/>
      <c r="D152" s="418"/>
      <c r="E152" s="418"/>
      <c r="F152" s="418"/>
      <c r="G152" s="445"/>
      <c r="H152" s="445"/>
      <c r="I152" s="445"/>
      <c r="J152" s="452"/>
    </row>
    <row r="153" spans="1:10">
      <c r="A153" s="444"/>
      <c r="B153" s="418"/>
      <c r="C153" s="418"/>
      <c r="D153" s="418"/>
      <c r="E153" s="418"/>
      <c r="F153" s="418"/>
      <c r="G153" s="445"/>
      <c r="H153" s="445"/>
      <c r="I153" s="445"/>
      <c r="J153" s="452"/>
    </row>
    <row r="154" spans="1:10">
      <c r="A154" s="444"/>
      <c r="B154" s="418"/>
      <c r="C154" s="418"/>
      <c r="D154" s="418"/>
      <c r="E154" s="418"/>
      <c r="F154" s="418"/>
      <c r="G154" s="445"/>
      <c r="H154" s="445"/>
      <c r="I154" s="445"/>
      <c r="J154" s="452"/>
    </row>
    <row r="155" spans="1:10">
      <c r="A155" s="444"/>
      <c r="B155" s="418"/>
      <c r="C155" s="418"/>
      <c r="D155" s="418"/>
      <c r="E155" s="418"/>
      <c r="F155" s="418"/>
      <c r="G155" s="445"/>
      <c r="H155" s="445"/>
      <c r="I155" s="445"/>
      <c r="J155" s="452"/>
    </row>
    <row r="156" spans="1:10">
      <c r="A156" s="444"/>
      <c r="B156" s="418"/>
      <c r="C156" s="418"/>
      <c r="D156" s="418"/>
      <c r="E156" s="418"/>
      <c r="F156" s="418"/>
      <c r="G156" s="445"/>
      <c r="H156" s="445"/>
      <c r="I156" s="445"/>
      <c r="J156" s="452"/>
    </row>
    <row r="157" spans="1:10">
      <c r="A157" s="444"/>
      <c r="B157" s="418"/>
      <c r="C157" s="418"/>
      <c r="D157" s="418"/>
      <c r="E157" s="418"/>
      <c r="F157" s="418"/>
      <c r="G157" s="445"/>
      <c r="H157" s="445"/>
      <c r="I157" s="445"/>
      <c r="J157" s="452"/>
    </row>
    <row r="158" spans="1:10">
      <c r="A158" s="444"/>
      <c r="B158" s="418"/>
      <c r="C158" s="418"/>
      <c r="D158" s="418"/>
      <c r="E158" s="418"/>
      <c r="F158" s="418"/>
      <c r="G158" s="445"/>
      <c r="H158" s="445"/>
      <c r="I158" s="445"/>
      <c r="J158" s="452"/>
    </row>
    <row r="159" spans="1:10">
      <c r="A159" s="444"/>
      <c r="B159" s="418"/>
      <c r="C159" s="418"/>
      <c r="D159" s="418"/>
      <c r="E159" s="418"/>
      <c r="F159" s="418"/>
      <c r="G159" s="445"/>
      <c r="H159" s="445"/>
      <c r="I159" s="445"/>
      <c r="J159" s="452"/>
    </row>
    <row r="160" spans="1:10">
      <c r="A160" s="446"/>
      <c r="J160" s="453"/>
    </row>
    <row r="161" spans="1:10">
      <c r="A161" s="446"/>
      <c r="J161" s="453"/>
    </row>
    <row r="162" spans="1:10">
      <c r="A162" s="444"/>
      <c r="B162" s="418"/>
      <c r="C162" s="418"/>
      <c r="D162" s="418"/>
      <c r="E162" s="418"/>
      <c r="F162" s="418"/>
      <c r="G162" s="418"/>
      <c r="H162" s="418"/>
      <c r="I162" s="418"/>
      <c r="J162" s="454"/>
    </row>
    <row r="163" spans="1:10">
      <c r="A163" s="444"/>
      <c r="B163" s="418"/>
      <c r="C163" s="418" t="s">
        <v>381</v>
      </c>
      <c r="D163" s="418"/>
      <c r="E163" s="447" t="s">
        <v>382</v>
      </c>
      <c r="F163" s="418"/>
      <c r="G163" s="418" t="s">
        <v>383</v>
      </c>
      <c r="H163" s="418"/>
      <c r="I163" s="445" t="s">
        <v>301</v>
      </c>
      <c r="J163" s="454"/>
    </row>
    <row r="164" spans="1:10">
      <c r="A164" s="444"/>
      <c r="B164" s="418"/>
      <c r="C164" s="418"/>
      <c r="D164" s="418"/>
      <c r="E164" s="418" t="s">
        <v>384</v>
      </c>
      <c r="F164" s="418"/>
      <c r="G164" s="418" t="s">
        <v>383</v>
      </c>
      <c r="H164" s="418"/>
      <c r="I164" s="418" t="s">
        <v>301</v>
      </c>
      <c r="J164" s="454"/>
    </row>
    <row r="165" spans="1:10">
      <c r="A165" s="444"/>
      <c r="B165" s="418"/>
      <c r="C165" s="418"/>
      <c r="D165" s="418"/>
      <c r="E165" s="448"/>
      <c r="F165" s="418"/>
      <c r="G165" s="418"/>
      <c r="H165" s="418"/>
      <c r="I165" s="418"/>
      <c r="J165" s="454"/>
    </row>
    <row r="166" spans="1:10">
      <c r="A166" s="444"/>
      <c r="B166" s="418"/>
      <c r="C166" s="418"/>
      <c r="D166" s="418"/>
      <c r="E166" s="448"/>
      <c r="F166" s="418"/>
      <c r="G166" s="418"/>
      <c r="H166" s="418"/>
      <c r="I166" s="448" t="s">
        <v>296</v>
      </c>
      <c r="J166" s="454"/>
    </row>
    <row r="167" spans="1:10">
      <c r="A167" s="444"/>
      <c r="B167" s="418"/>
      <c r="C167" s="418"/>
      <c r="D167" s="418"/>
      <c r="E167" s="418"/>
      <c r="F167" s="418"/>
      <c r="G167" s="418"/>
      <c r="H167" s="418"/>
      <c r="I167" s="418"/>
      <c r="J167" s="454"/>
    </row>
    <row r="168" spans="1:10">
      <c r="A168" s="449"/>
      <c r="B168" s="450"/>
      <c r="C168" s="450"/>
      <c r="D168" s="450"/>
      <c r="E168" s="450"/>
      <c r="F168" s="450"/>
      <c r="G168" s="450"/>
      <c r="H168" s="450"/>
      <c r="I168" s="455"/>
      <c r="J168" s="456"/>
    </row>
    <row r="170" spans="1:10">
      <c r="A170" s="413" t="s">
        <v>303</v>
      </c>
    </row>
    <row r="171" spans="1:10">
      <c r="A171" s="413" t="s">
        <v>386</v>
      </c>
    </row>
    <row r="172" spans="1:10">
      <c r="A172" s="413" t="s">
        <v>387</v>
      </c>
    </row>
    <row r="173" spans="1:10">
      <c r="A173" s="413" t="s">
        <v>388</v>
      </c>
    </row>
  </sheetData>
  <mergeCells count="219">
    <mergeCell ref="A3:J3"/>
    <mergeCell ref="A11:J11"/>
    <mergeCell ref="A12:J12"/>
    <mergeCell ref="A13:J13"/>
    <mergeCell ref="P15:Y15"/>
    <mergeCell ref="Q16:R16"/>
    <mergeCell ref="S17:T17"/>
    <mergeCell ref="P18:R18"/>
    <mergeCell ref="S18:U18"/>
    <mergeCell ref="V18:W18"/>
    <mergeCell ref="X18:Y18"/>
    <mergeCell ref="A8:J10"/>
    <mergeCell ref="Q19:R19"/>
    <mergeCell ref="S19:T19"/>
    <mergeCell ref="Q20:R20"/>
    <mergeCell ref="S20:T20"/>
    <mergeCell ref="P21:Q21"/>
    <mergeCell ref="R21:S21"/>
    <mergeCell ref="T21:U21"/>
    <mergeCell ref="W21:X21"/>
    <mergeCell ref="Q22:R22"/>
    <mergeCell ref="S22:T22"/>
    <mergeCell ref="V22:W22"/>
    <mergeCell ref="X22:Y22"/>
    <mergeCell ref="B23:C23"/>
    <mergeCell ref="P23:Q23"/>
    <mergeCell ref="R23:S23"/>
    <mergeCell ref="T23:U23"/>
    <mergeCell ref="V23:W23"/>
    <mergeCell ref="B24:C24"/>
    <mergeCell ref="S24:T24"/>
    <mergeCell ref="P25:Q25"/>
    <mergeCell ref="R25:S25"/>
    <mergeCell ref="T25:U25"/>
    <mergeCell ref="V25:W25"/>
    <mergeCell ref="X25:Y25"/>
    <mergeCell ref="P26:Q26"/>
    <mergeCell ref="R26:S26"/>
    <mergeCell ref="T26:U26"/>
    <mergeCell ref="V26:W26"/>
    <mergeCell ref="X26:Y26"/>
    <mergeCell ref="P27:Q27"/>
    <mergeCell ref="R27:S27"/>
    <mergeCell ref="T27:U27"/>
    <mergeCell ref="V27:W27"/>
    <mergeCell ref="P28:S28"/>
    <mergeCell ref="T28:U28"/>
    <mergeCell ref="V28:W28"/>
    <mergeCell ref="X28:Y28"/>
    <mergeCell ref="P29:Q29"/>
    <mergeCell ref="R29:S29"/>
    <mergeCell ref="T29:U29"/>
    <mergeCell ref="V29:W29"/>
    <mergeCell ref="P30:Y30"/>
    <mergeCell ref="D32:E32"/>
    <mergeCell ref="D33:E33"/>
    <mergeCell ref="A37:C37"/>
    <mergeCell ref="D37:F37"/>
    <mergeCell ref="G37:H37"/>
    <mergeCell ref="I37:J37"/>
    <mergeCell ref="A38:C38"/>
    <mergeCell ref="D38:F38"/>
    <mergeCell ref="G38:H38"/>
    <mergeCell ref="I38:J38"/>
    <mergeCell ref="A39:C39"/>
    <mergeCell ref="D39:F39"/>
    <mergeCell ref="G39:H39"/>
    <mergeCell ref="I39:J39"/>
    <mergeCell ref="B43:C43"/>
    <mergeCell ref="D43:E43"/>
    <mergeCell ref="B44:C44"/>
    <mergeCell ref="D44:E44"/>
    <mergeCell ref="B45:C45"/>
    <mergeCell ref="D45:E45"/>
    <mergeCell ref="B50:C50"/>
    <mergeCell ref="D50:E50"/>
    <mergeCell ref="B51:C51"/>
    <mergeCell ref="D51:E51"/>
    <mergeCell ref="B52:C52"/>
    <mergeCell ref="D52:E52"/>
    <mergeCell ref="A58:B58"/>
    <mergeCell ref="C58:D58"/>
    <mergeCell ref="E58:F58"/>
    <mergeCell ref="H58:I58"/>
    <mergeCell ref="A59:B59"/>
    <mergeCell ref="C59:D59"/>
    <mergeCell ref="E59:F59"/>
    <mergeCell ref="H59:I59"/>
    <mergeCell ref="A60:B60"/>
    <mergeCell ref="C60:D60"/>
    <mergeCell ref="E60:F60"/>
    <mergeCell ref="H60:I60"/>
    <mergeCell ref="A65:B65"/>
    <mergeCell ref="C65:D65"/>
    <mergeCell ref="E65:F65"/>
    <mergeCell ref="H65:I65"/>
    <mergeCell ref="A66:B66"/>
    <mergeCell ref="C66:D66"/>
    <mergeCell ref="E66:F66"/>
    <mergeCell ref="H66:I66"/>
    <mergeCell ref="A67:B67"/>
    <mergeCell ref="C67:D67"/>
    <mergeCell ref="E67:F67"/>
    <mergeCell ref="H67:I67"/>
    <mergeCell ref="A71:B71"/>
    <mergeCell ref="C71:D71"/>
    <mergeCell ref="E71:F71"/>
    <mergeCell ref="G71:H71"/>
    <mergeCell ref="A72:B72"/>
    <mergeCell ref="C72:D72"/>
    <mergeCell ref="E72:F72"/>
    <mergeCell ref="G72:H72"/>
    <mergeCell ref="A73:B73"/>
    <mergeCell ref="C73:D73"/>
    <mergeCell ref="E73:F73"/>
    <mergeCell ref="G73:H73"/>
    <mergeCell ref="D79:E79"/>
    <mergeCell ref="D80:E80"/>
    <mergeCell ref="A84:B84"/>
    <mergeCell ref="C84:D84"/>
    <mergeCell ref="E84:F84"/>
    <mergeCell ref="G84:H84"/>
    <mergeCell ref="I84:J84"/>
    <mergeCell ref="A85:B85"/>
    <mergeCell ref="C85:D85"/>
    <mergeCell ref="E85:F85"/>
    <mergeCell ref="G85:H85"/>
    <mergeCell ref="I85:J85"/>
    <mergeCell ref="A86:B86"/>
    <mergeCell ref="C86:D86"/>
    <mergeCell ref="E86:F86"/>
    <mergeCell ref="G86:H86"/>
    <mergeCell ref="I86:J86"/>
    <mergeCell ref="A90:B90"/>
    <mergeCell ref="C90:D90"/>
    <mergeCell ref="E90:F90"/>
    <mergeCell ref="G90:H90"/>
    <mergeCell ref="I90:J90"/>
    <mergeCell ref="A91:B91"/>
    <mergeCell ref="C91:D91"/>
    <mergeCell ref="E91:F91"/>
    <mergeCell ref="G91:H91"/>
    <mergeCell ref="I91:J91"/>
    <mergeCell ref="A92:B92"/>
    <mergeCell ref="C92:D92"/>
    <mergeCell ref="E92:F92"/>
    <mergeCell ref="G92:H92"/>
    <mergeCell ref="I92:J92"/>
    <mergeCell ref="A96:B96"/>
    <mergeCell ref="C96:D96"/>
    <mergeCell ref="E96:F96"/>
    <mergeCell ref="G96:H96"/>
    <mergeCell ref="A97:B97"/>
    <mergeCell ref="C97:D97"/>
    <mergeCell ref="E97:F97"/>
    <mergeCell ref="G97:H97"/>
    <mergeCell ref="A98:B98"/>
    <mergeCell ref="C98:D98"/>
    <mergeCell ref="E98:F98"/>
    <mergeCell ref="G98:H98"/>
    <mergeCell ref="E102:F102"/>
    <mergeCell ref="G102:H102"/>
    <mergeCell ref="I102:J102"/>
    <mergeCell ref="A103:D103"/>
    <mergeCell ref="E103:F103"/>
    <mergeCell ref="G103:H103"/>
    <mergeCell ref="I103:J103"/>
    <mergeCell ref="A104:D104"/>
    <mergeCell ref="E104:F104"/>
    <mergeCell ref="G104:H104"/>
    <mergeCell ref="I104:J104"/>
    <mergeCell ref="H122:J122"/>
    <mergeCell ref="A21:A22"/>
    <mergeCell ref="A30:A31"/>
    <mergeCell ref="A77:A78"/>
    <mergeCell ref="B30:B31"/>
    <mergeCell ref="B77:B78"/>
    <mergeCell ref="C30:C31"/>
    <mergeCell ref="C77:C78"/>
    <mergeCell ref="D21:D22"/>
    <mergeCell ref="E21:E22"/>
    <mergeCell ref="F21:F22"/>
    <mergeCell ref="F30:F31"/>
    <mergeCell ref="F77:F78"/>
    <mergeCell ref="G21:G22"/>
    <mergeCell ref="G30:G31"/>
    <mergeCell ref="G77:G78"/>
    <mergeCell ref="H21:H22"/>
    <mergeCell ref="H30:H31"/>
    <mergeCell ref="H77:H78"/>
    <mergeCell ref="I21:I22"/>
    <mergeCell ref="I30:I31"/>
    <mergeCell ref="I77:I78"/>
    <mergeCell ref="J21:J22"/>
    <mergeCell ref="A108:B108"/>
    <mergeCell ref="J30:J31"/>
    <mergeCell ref="J77:J78"/>
    <mergeCell ref="A115:J116"/>
    <mergeCell ref="H120:J121"/>
    <mergeCell ref="B21:C22"/>
    <mergeCell ref="D77:E78"/>
    <mergeCell ref="A53:J54"/>
    <mergeCell ref="A61:J62"/>
    <mergeCell ref="A46:J47"/>
    <mergeCell ref="A25:J27"/>
    <mergeCell ref="D30:E31"/>
    <mergeCell ref="A114:J114"/>
    <mergeCell ref="C108:D108"/>
    <mergeCell ref="E108:F108"/>
    <mergeCell ref="G108:H108"/>
    <mergeCell ref="A109:B109"/>
    <mergeCell ref="C109:D109"/>
    <mergeCell ref="E109:F109"/>
    <mergeCell ref="G109:H109"/>
    <mergeCell ref="A110:B110"/>
    <mergeCell ref="C110:D110"/>
    <mergeCell ref="E110:F110"/>
    <mergeCell ref="G110:H110"/>
    <mergeCell ref="A102:D102"/>
  </mergeCells>
  <phoneticPr fontId="98" type="noConversion"/>
  <printOptions horizontalCentered="1"/>
  <pageMargins left="0.511811023622047" right="0.511811023622047" top="0.74803149606299202" bottom="0.74803149606299202" header="0.31496062992126" footer="0.31496062992126"/>
  <pageSetup paperSize="9" scale="66" orientation="portrait" r:id="rId1"/>
  <rowBreaks count="2" manualBreakCount="2">
    <brk id="41" max="9" man="1"/>
    <brk id="106" max="9"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3"/>
  <dimension ref="A1:R45"/>
  <sheetViews>
    <sheetView view="pageBreakPreview" zoomScale="60" zoomScaleNormal="100" workbookViewId="0">
      <selection activeCell="L10" sqref="L10"/>
    </sheetView>
  </sheetViews>
  <sheetFormatPr defaultColWidth="8.265625" defaultRowHeight="12.75"/>
  <cols>
    <col min="1" max="1" width="11.796875" style="341" customWidth="1"/>
    <col min="2" max="2" width="10.59765625" style="341" customWidth="1"/>
    <col min="3" max="3" width="16.59765625" style="341" customWidth="1"/>
    <col min="4" max="4" width="17.265625" style="341" customWidth="1"/>
    <col min="5" max="5" width="20.33203125" style="341" customWidth="1"/>
    <col min="6" max="6" width="14.6640625" style="341" customWidth="1"/>
    <col min="7" max="9" width="8.265625" style="341"/>
    <col min="10" max="10" width="17" style="341" customWidth="1"/>
    <col min="11" max="12" width="8.265625" style="341"/>
    <col min="13" max="13" width="4.9296875" style="341" customWidth="1"/>
    <col min="14" max="14" width="8.265625" style="341"/>
    <col min="15" max="15" width="11.9296875" style="341" customWidth="1"/>
    <col min="16" max="17" width="13.6640625" style="341" customWidth="1"/>
    <col min="18" max="18" width="4.9296875" style="341" customWidth="1"/>
    <col min="19" max="16384" width="8.265625" style="341"/>
  </cols>
  <sheetData>
    <row r="1" spans="1:18" ht="52.5" customHeight="1"/>
    <row r="2" spans="1:18" ht="13.9">
      <c r="A2" s="391"/>
      <c r="B2" s="392"/>
      <c r="C2" s="632" t="s">
        <v>186</v>
      </c>
      <c r="D2" s="632"/>
      <c r="E2" s="391"/>
      <c r="H2" s="382" t="str">
        <f>HYPERLINK("#基本信息!I1","返回基本信息")</f>
        <v>返回基本信息</v>
      </c>
    </row>
    <row r="3" spans="1:18" s="109" customFormat="1" ht="13.9">
      <c r="A3" s="391"/>
      <c r="B3" s="391"/>
      <c r="C3" s="391"/>
      <c r="E3" s="393" t="s">
        <v>187</v>
      </c>
      <c r="F3" s="394" t="e">
        <v>#N/A</v>
      </c>
      <c r="H3" s="382" t="str">
        <f>HYPERLINK("#操作平台!A3","返回操作平台")</f>
        <v>返回操作平台</v>
      </c>
      <c r="K3" s="209" t="s">
        <v>188</v>
      </c>
    </row>
    <row r="4" spans="1:18" s="109" customFormat="1" ht="13.15">
      <c r="A4" s="344"/>
      <c r="B4" s="344"/>
      <c r="C4" s="344"/>
      <c r="E4" s="393" t="s">
        <v>189</v>
      </c>
      <c r="F4" s="395" t="s">
        <v>190</v>
      </c>
    </row>
    <row r="5" spans="1:18" s="109" customFormat="1" ht="13.9">
      <c r="A5" s="396" t="e">
        <v>#N/A</v>
      </c>
      <c r="B5" s="61"/>
      <c r="H5" s="382" t="str">
        <f>HYPERLINK("#使用说明!B2","返回模板池")</f>
        <v>返回模板池</v>
      </c>
      <c r="K5" s="406" t="s">
        <v>51</v>
      </c>
      <c r="L5" s="210" t="s">
        <v>54</v>
      </c>
    </row>
    <row r="6" spans="1:18" s="109" customFormat="1" ht="13.05" customHeight="1">
      <c r="A6" s="628" t="s">
        <v>192</v>
      </c>
      <c r="B6" s="628"/>
      <c r="C6" s="628"/>
      <c r="D6" s="628"/>
      <c r="E6" s="628"/>
      <c r="F6" s="628"/>
      <c r="K6" s="406" t="s">
        <v>53</v>
      </c>
      <c r="L6" s="210" t="s">
        <v>194</v>
      </c>
    </row>
    <row r="7" spans="1:18" s="109" customFormat="1" ht="13.15">
      <c r="A7" s="628"/>
      <c r="B7" s="628"/>
      <c r="C7" s="628"/>
      <c r="D7" s="628"/>
      <c r="E7" s="628"/>
      <c r="F7" s="628"/>
      <c r="K7" s="406" t="s">
        <v>55</v>
      </c>
      <c r="L7" s="210" t="s">
        <v>389</v>
      </c>
    </row>
    <row r="8" spans="1:18" s="109" customFormat="1" ht="13.15">
      <c r="A8" s="628"/>
      <c r="B8" s="628"/>
      <c r="C8" s="628"/>
      <c r="D8" s="628"/>
      <c r="E8" s="628"/>
      <c r="F8" s="628"/>
      <c r="K8" s="406" t="s">
        <v>57</v>
      </c>
      <c r="L8" s="210" t="s">
        <v>390</v>
      </c>
    </row>
    <row r="9" spans="1:18" s="109" customFormat="1" ht="13.15">
      <c r="A9" s="628"/>
      <c r="B9" s="628"/>
      <c r="C9" s="628"/>
      <c r="D9" s="628"/>
      <c r="E9" s="628"/>
      <c r="F9" s="628"/>
      <c r="K9" s="406" t="s">
        <v>59</v>
      </c>
      <c r="L9" s="383" t="s">
        <v>33</v>
      </c>
    </row>
    <row r="10" spans="1:18" s="109" customFormat="1" ht="13.15">
      <c r="A10" s="628"/>
      <c r="B10" s="628"/>
      <c r="C10" s="628"/>
      <c r="D10" s="628"/>
      <c r="E10" s="628"/>
      <c r="F10" s="628"/>
      <c r="K10" s="109" t="s">
        <v>60</v>
      </c>
      <c r="L10" s="113" t="s">
        <v>391</v>
      </c>
    </row>
    <row r="11" spans="1:18" s="109" customFormat="1" ht="13.15">
      <c r="A11" s="628"/>
      <c r="B11" s="628"/>
      <c r="C11" s="628"/>
      <c r="D11" s="628"/>
      <c r="E11" s="628"/>
      <c r="F11" s="628"/>
      <c r="K11" s="109" t="s">
        <v>62</v>
      </c>
      <c r="L11" s="113">
        <v>60</v>
      </c>
    </row>
    <row r="12" spans="1:18" s="109" customFormat="1" ht="13.05" customHeight="1">
      <c r="A12" s="397" t="s">
        <v>197</v>
      </c>
      <c r="B12" s="172" t="s">
        <v>198</v>
      </c>
      <c r="C12" s="173"/>
      <c r="D12" s="176"/>
      <c r="E12" s="174" t="s">
        <v>199</v>
      </c>
    </row>
    <row r="13" spans="1:18" s="109" customFormat="1" ht="13.05" customHeight="1">
      <c r="A13" s="397" t="s">
        <v>200</v>
      </c>
      <c r="B13" s="172" t="s">
        <v>201</v>
      </c>
      <c r="C13" s="176"/>
      <c r="J13" s="210" t="s">
        <v>65</v>
      </c>
      <c r="K13" s="210" t="s">
        <v>66</v>
      </c>
      <c r="L13" s="210" t="s">
        <v>67</v>
      </c>
      <c r="M13" s="745" t="s">
        <v>68</v>
      </c>
      <c r="N13" s="745"/>
      <c r="O13" s="745"/>
    </row>
    <row r="14" spans="1:18" s="109" customFormat="1" ht="13.5">
      <c r="A14" s="177" t="s">
        <v>202</v>
      </c>
      <c r="B14" s="108" t="s">
        <v>203</v>
      </c>
      <c r="E14" s="178" t="s">
        <v>204</v>
      </c>
      <c r="J14" s="385" t="s">
        <v>392</v>
      </c>
      <c r="K14" s="53">
        <v>17</v>
      </c>
      <c r="L14" s="54" t="s">
        <v>67</v>
      </c>
      <c r="M14" s="354" t="s">
        <v>393</v>
      </c>
      <c r="N14" s="354" t="s">
        <v>206</v>
      </c>
      <c r="O14" s="399" t="s">
        <v>394</v>
      </c>
      <c r="P14" s="354" t="s">
        <v>395</v>
      </c>
      <c r="Q14" s="354" t="s">
        <v>396</v>
      </c>
      <c r="R14" s="399" t="s">
        <v>78</v>
      </c>
    </row>
    <row r="15" spans="1:18" s="109" customFormat="1" ht="13.15">
      <c r="A15" s="113" t="s">
        <v>209</v>
      </c>
      <c r="B15" s="177"/>
      <c r="C15" s="179"/>
      <c r="D15" s="179"/>
      <c r="E15" s="113"/>
    </row>
    <row r="16" spans="1:18" s="109" customFormat="1" ht="13.15">
      <c r="A16" s="54" t="s">
        <v>393</v>
      </c>
      <c r="B16" s="54" t="s">
        <v>206</v>
      </c>
      <c r="C16" s="398" t="s">
        <v>394</v>
      </c>
      <c r="D16" s="398" t="s">
        <v>395</v>
      </c>
      <c r="E16" s="398" t="s">
        <v>396</v>
      </c>
      <c r="F16" s="354" t="s">
        <v>78</v>
      </c>
    </row>
    <row r="17" spans="1:15" s="109" customFormat="1" ht="13.15">
      <c r="A17" s="408"/>
      <c r="B17" s="408"/>
      <c r="C17" s="398"/>
      <c r="D17" s="398"/>
      <c r="E17" s="400"/>
      <c r="F17" s="354"/>
    </row>
    <row r="18" spans="1:15" s="109" customFormat="1" ht="13.15">
      <c r="A18" s="408"/>
      <c r="B18" s="408"/>
      <c r="C18" s="398"/>
      <c r="D18" s="398"/>
      <c r="E18" s="400"/>
      <c r="F18" s="354"/>
    </row>
    <row r="19" spans="1:15" s="340" customFormat="1" ht="13.15">
      <c r="A19" s="357"/>
      <c r="B19" s="357"/>
      <c r="C19" s="357"/>
      <c r="D19" s="357"/>
      <c r="E19" s="357"/>
      <c r="J19" s="109"/>
      <c r="K19" s="109"/>
      <c r="L19" s="109"/>
      <c r="M19" s="109"/>
      <c r="N19" s="109"/>
      <c r="O19" s="109"/>
    </row>
    <row r="20" spans="1:15" s="109" customFormat="1" ht="13.15">
      <c r="A20" s="409"/>
      <c r="B20" s="366"/>
      <c r="C20" s="367"/>
      <c r="D20" s="368"/>
      <c r="E20" s="368"/>
    </row>
    <row r="21" spans="1:15" s="109" customFormat="1" ht="13.15">
      <c r="A21" s="626"/>
      <c r="B21" s="626"/>
      <c r="C21" s="626"/>
      <c r="D21" s="626"/>
      <c r="E21" s="626"/>
    </row>
    <row r="22" spans="1:15" s="109" customFormat="1" ht="13.15">
      <c r="A22" s="177" t="s">
        <v>226</v>
      </c>
      <c r="B22" s="61"/>
      <c r="C22" s="179"/>
      <c r="D22" s="179"/>
    </row>
    <row r="23" spans="1:15" s="109" customFormat="1" ht="13.15">
      <c r="A23" s="61"/>
      <c r="B23" s="61"/>
      <c r="C23" s="179"/>
      <c r="D23" s="179"/>
    </row>
    <row r="24" spans="1:15" s="109" customFormat="1" ht="13.15"/>
    <row r="25" spans="1:15" s="109" customFormat="1" ht="13.15"/>
    <row r="26" spans="1:15" s="109" customFormat="1" ht="13.15">
      <c r="E26" s="627" t="e">
        <v>#N/A</v>
      </c>
      <c r="F26" s="627"/>
    </row>
    <row r="27" spans="1:15" s="109" customFormat="1" ht="13.15">
      <c r="E27" s="169" t="s">
        <v>227</v>
      </c>
    </row>
    <row r="28" spans="1:15" s="109" customFormat="1" ht="13.15">
      <c r="E28" s="401" t="s">
        <v>228</v>
      </c>
    </row>
    <row r="29" spans="1:15" s="109" customFormat="1" ht="13.15"/>
    <row r="30" spans="1:15" s="109" customFormat="1" ht="13.15">
      <c r="A30" s="402" t="s">
        <v>229</v>
      </c>
      <c r="B30" s="374"/>
      <c r="C30" s="403"/>
      <c r="D30" s="605" t="s">
        <v>230</v>
      </c>
      <c r="E30" s="374"/>
      <c r="F30" s="403"/>
    </row>
    <row r="31" spans="1:15" s="109" customFormat="1" ht="13.15">
      <c r="A31" s="375"/>
      <c r="C31" s="376"/>
      <c r="D31" s="375"/>
      <c r="F31" s="376"/>
    </row>
    <row r="32" spans="1:15" s="109" customFormat="1" ht="13.15">
      <c r="A32" s="375"/>
      <c r="C32" s="376"/>
      <c r="D32" s="375"/>
      <c r="F32" s="376"/>
    </row>
    <row r="33" spans="1:15" s="109" customFormat="1" ht="13.15">
      <c r="A33" s="375"/>
      <c r="C33" s="376"/>
      <c r="D33" s="375"/>
      <c r="F33" s="376"/>
    </row>
    <row r="34" spans="1:15" s="109" customFormat="1" ht="13.15">
      <c r="A34" s="375"/>
      <c r="C34" s="376"/>
      <c r="D34" s="375"/>
      <c r="F34" s="376"/>
    </row>
    <row r="35" spans="1:15" s="109" customFormat="1" ht="13.15">
      <c r="A35" s="375"/>
      <c r="C35" s="376"/>
      <c r="D35" s="375"/>
      <c r="F35" s="376"/>
    </row>
    <row r="36" spans="1:15" s="109" customFormat="1" ht="13.15">
      <c r="A36" s="375"/>
      <c r="C36" s="376"/>
      <c r="D36" s="375"/>
      <c r="F36" s="376"/>
    </row>
    <row r="37" spans="1:15" s="109" customFormat="1" ht="13.15">
      <c r="A37" s="375"/>
      <c r="C37" s="376"/>
      <c r="D37" s="375"/>
      <c r="F37" s="376"/>
    </row>
    <row r="38" spans="1:15" s="109" customFormat="1" ht="13.15">
      <c r="A38" s="375"/>
      <c r="C38" s="376"/>
      <c r="D38" s="375"/>
      <c r="F38" s="376"/>
    </row>
    <row r="39" spans="1:15" s="109" customFormat="1" ht="13.15">
      <c r="A39" s="375"/>
      <c r="C39" s="376"/>
      <c r="D39" s="375"/>
      <c r="F39" s="376"/>
    </row>
    <row r="40" spans="1:15" s="109" customFormat="1" ht="13.15">
      <c r="A40" s="375"/>
      <c r="C40" s="376"/>
      <c r="D40" s="375"/>
      <c r="F40" s="376"/>
    </row>
    <row r="41" spans="1:15" s="109" customFormat="1" ht="13.15">
      <c r="A41" s="375"/>
      <c r="C41" s="376"/>
      <c r="D41" s="375"/>
      <c r="F41" s="376"/>
    </row>
    <row r="42" spans="1:15" s="109" customFormat="1" ht="13.15">
      <c r="A42" s="375"/>
      <c r="B42" s="411" t="s">
        <v>231</v>
      </c>
      <c r="C42" s="376"/>
      <c r="D42" s="375"/>
      <c r="E42" s="412" t="s">
        <v>231</v>
      </c>
      <c r="F42" s="376"/>
      <c r="J42" s="341"/>
      <c r="K42" s="341"/>
      <c r="L42" s="341"/>
      <c r="M42" s="341"/>
      <c r="N42" s="341"/>
      <c r="O42" s="341"/>
    </row>
    <row r="43" spans="1:15" s="109" customFormat="1" ht="13.15">
      <c r="A43" s="375"/>
      <c r="B43" s="411" t="s">
        <v>232</v>
      </c>
      <c r="C43" s="376"/>
      <c r="D43" s="375"/>
      <c r="E43" s="412" t="s">
        <v>232</v>
      </c>
      <c r="F43" s="376"/>
      <c r="J43" s="341"/>
      <c r="K43" s="341"/>
      <c r="L43" s="341"/>
      <c r="M43" s="341"/>
      <c r="N43" s="341"/>
      <c r="O43" s="341"/>
    </row>
    <row r="44" spans="1:15" s="109" customFormat="1" ht="13.15">
      <c r="A44" s="375"/>
      <c r="B44" s="411" t="s">
        <v>227</v>
      </c>
      <c r="C44" s="376"/>
      <c r="D44" s="375"/>
      <c r="E44" s="412" t="s">
        <v>227</v>
      </c>
      <c r="F44" s="376"/>
      <c r="J44" s="341"/>
      <c r="K44" s="341"/>
      <c r="L44" s="341"/>
      <c r="M44" s="341"/>
      <c r="N44" s="341"/>
      <c r="O44" s="341"/>
    </row>
    <row r="45" spans="1:15" s="109" customFormat="1" ht="13.15">
      <c r="A45" s="379"/>
      <c r="B45" s="380"/>
      <c r="C45" s="381"/>
      <c r="D45" s="379"/>
      <c r="E45" s="380"/>
      <c r="F45" s="381"/>
      <c r="J45" s="341"/>
      <c r="K45" s="341"/>
      <c r="L45" s="341"/>
      <c r="M45" s="341"/>
      <c r="N45" s="341"/>
      <c r="O45" s="341"/>
    </row>
  </sheetData>
  <mergeCells count="5">
    <mergeCell ref="C2:D2"/>
    <mergeCell ref="M13:O13"/>
    <mergeCell ref="A21:E21"/>
    <mergeCell ref="E26:F26"/>
    <mergeCell ref="A6:F11"/>
  </mergeCells>
  <phoneticPr fontId="98" type="noConversion"/>
  <pageMargins left="0.7" right="0.7" top="0.75" bottom="0.75" header="0.3" footer="0.3"/>
  <pageSetup paperSize="9" scale="93" orientation="portrait" r:id="rId1"/>
  <colBreaks count="1" manualBreakCount="1">
    <brk id="6"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4"/>
  <dimension ref="A1:R45"/>
  <sheetViews>
    <sheetView view="pageBreakPreview" zoomScale="60" zoomScaleNormal="100" workbookViewId="0">
      <selection activeCell="L11" sqref="K3:L11"/>
    </sheetView>
  </sheetViews>
  <sheetFormatPr defaultColWidth="8.265625" defaultRowHeight="12.75"/>
  <cols>
    <col min="1" max="1" width="11.796875" style="341" customWidth="1"/>
    <col min="2" max="2" width="12.06640625" style="341" customWidth="1"/>
    <col min="3" max="3" width="16.59765625" style="341" customWidth="1"/>
    <col min="4" max="4" width="17.265625" style="341" customWidth="1"/>
    <col min="5" max="5" width="20.33203125" style="341" customWidth="1"/>
    <col min="6" max="6" width="19.33203125" style="341" customWidth="1"/>
    <col min="7" max="9" width="8.265625" style="341"/>
    <col min="10" max="10" width="11.33203125" style="341" customWidth="1"/>
    <col min="11" max="16384" width="8.265625" style="341"/>
  </cols>
  <sheetData>
    <row r="1" spans="1:18" ht="52.5" customHeight="1"/>
    <row r="2" spans="1:18" ht="13.9">
      <c r="A2" s="391"/>
      <c r="B2" s="392"/>
      <c r="C2" s="632" t="s">
        <v>186</v>
      </c>
      <c r="D2" s="632"/>
      <c r="E2" s="391"/>
      <c r="H2" s="382" t="str">
        <f>HYPERLINK("#基本信息!I1","返回基本信息")</f>
        <v>返回基本信息</v>
      </c>
    </row>
    <row r="3" spans="1:18" s="109" customFormat="1" ht="13.9">
      <c r="A3" s="391"/>
      <c r="B3" s="391"/>
      <c r="C3" s="391"/>
      <c r="E3" s="393" t="s">
        <v>187</v>
      </c>
      <c r="F3" s="394" t="e">
        <v>#N/A</v>
      </c>
      <c r="H3" s="382" t="str">
        <f>HYPERLINK("#操作平台!A3","返回操作平台")</f>
        <v>返回操作平台</v>
      </c>
      <c r="K3" s="209" t="s">
        <v>188</v>
      </c>
    </row>
    <row r="4" spans="1:18" s="109" customFormat="1" ht="13.15">
      <c r="A4" s="344"/>
      <c r="B4" s="344"/>
      <c r="C4" s="344"/>
      <c r="E4" s="393" t="s">
        <v>189</v>
      </c>
      <c r="F4" s="395" t="s">
        <v>190</v>
      </c>
    </row>
    <row r="5" spans="1:18" s="109" customFormat="1" ht="13.9">
      <c r="A5" s="396" t="e">
        <v>#N/A</v>
      </c>
      <c r="B5" s="61"/>
      <c r="H5" s="382" t="str">
        <f>HYPERLINK("#使用说明!B2","返回模板池")</f>
        <v>返回模板池</v>
      </c>
      <c r="K5" s="406" t="s">
        <v>51</v>
      </c>
      <c r="L5" s="210" t="s">
        <v>54</v>
      </c>
    </row>
    <row r="6" spans="1:18" s="109" customFormat="1" ht="13.05" customHeight="1">
      <c r="A6" s="746" t="s">
        <v>192</v>
      </c>
      <c r="B6" s="746"/>
      <c r="C6" s="746"/>
      <c r="D6" s="746"/>
      <c r="E6" s="746"/>
      <c r="F6" s="746"/>
      <c r="K6" s="406" t="s">
        <v>53</v>
      </c>
      <c r="L6" s="210" t="s">
        <v>194</v>
      </c>
    </row>
    <row r="7" spans="1:18" s="109" customFormat="1" ht="13.15">
      <c r="A7" s="746"/>
      <c r="B7" s="746"/>
      <c r="C7" s="746"/>
      <c r="D7" s="746"/>
      <c r="E7" s="746"/>
      <c r="F7" s="746"/>
      <c r="K7" s="406" t="s">
        <v>55</v>
      </c>
      <c r="L7" s="210" t="s">
        <v>389</v>
      </c>
    </row>
    <row r="8" spans="1:18" s="109" customFormat="1" ht="13.15">
      <c r="A8" s="746"/>
      <c r="B8" s="746"/>
      <c r="C8" s="746"/>
      <c r="D8" s="746"/>
      <c r="E8" s="746"/>
      <c r="F8" s="746"/>
      <c r="K8" s="406" t="s">
        <v>57</v>
      </c>
      <c r="L8" s="210" t="s">
        <v>390</v>
      </c>
    </row>
    <row r="9" spans="1:18" s="109" customFormat="1" ht="13.15">
      <c r="A9" s="746"/>
      <c r="B9" s="746"/>
      <c r="C9" s="746"/>
      <c r="D9" s="746"/>
      <c r="E9" s="746"/>
      <c r="F9" s="746"/>
      <c r="K9" s="406" t="s">
        <v>59</v>
      </c>
      <c r="L9" s="383" t="s">
        <v>36</v>
      </c>
    </row>
    <row r="10" spans="1:18" s="109" customFormat="1" ht="13.15">
      <c r="A10" s="746"/>
      <c r="B10" s="746"/>
      <c r="C10" s="746"/>
      <c r="D10" s="746"/>
      <c r="E10" s="746"/>
      <c r="F10" s="746"/>
      <c r="K10" s="109" t="s">
        <v>60</v>
      </c>
      <c r="L10" s="113" t="s">
        <v>391</v>
      </c>
    </row>
    <row r="11" spans="1:18" s="109" customFormat="1" ht="13.15">
      <c r="A11" s="746"/>
      <c r="B11" s="746"/>
      <c r="C11" s="746"/>
      <c r="D11" s="746"/>
      <c r="E11" s="746"/>
      <c r="F11" s="746"/>
      <c r="K11" s="109" t="s">
        <v>62</v>
      </c>
      <c r="L11" s="113">
        <v>60</v>
      </c>
    </row>
    <row r="12" spans="1:18" s="109" customFormat="1" ht="13.05" customHeight="1">
      <c r="A12" s="397" t="s">
        <v>197</v>
      </c>
      <c r="B12" s="172" t="s">
        <v>198</v>
      </c>
      <c r="C12" s="173"/>
      <c r="D12" s="176"/>
      <c r="F12" s="174" t="s">
        <v>199</v>
      </c>
    </row>
    <row r="13" spans="1:18" s="109" customFormat="1" ht="13.05" customHeight="1">
      <c r="A13" s="397" t="s">
        <v>200</v>
      </c>
      <c r="B13" s="172" t="s">
        <v>201</v>
      </c>
      <c r="C13" s="176"/>
      <c r="J13" s="210" t="s">
        <v>65</v>
      </c>
      <c r="K13" s="210" t="s">
        <v>66</v>
      </c>
      <c r="L13" s="210" t="s">
        <v>67</v>
      </c>
      <c r="M13" s="745" t="s">
        <v>68</v>
      </c>
      <c r="N13" s="745"/>
      <c r="O13" s="745"/>
      <c r="P13" s="745"/>
      <c r="Q13" s="745"/>
    </row>
    <row r="14" spans="1:18" s="109" customFormat="1" ht="13.5">
      <c r="A14" s="177" t="s">
        <v>202</v>
      </c>
      <c r="B14" s="108" t="s">
        <v>203</v>
      </c>
      <c r="F14" s="178" t="s">
        <v>204</v>
      </c>
      <c r="J14" s="385" t="s">
        <v>397</v>
      </c>
      <c r="K14" s="54">
        <v>17</v>
      </c>
      <c r="L14" s="54" t="s">
        <v>67</v>
      </c>
      <c r="M14" s="54" t="s">
        <v>393</v>
      </c>
      <c r="N14" s="54" t="s">
        <v>206</v>
      </c>
      <c r="O14" s="407" t="s">
        <v>275</v>
      </c>
      <c r="P14" s="407" t="s">
        <v>398</v>
      </c>
      <c r="Q14" s="407" t="s">
        <v>399</v>
      </c>
      <c r="R14" s="354" t="s">
        <v>78</v>
      </c>
    </row>
    <row r="15" spans="1:18" s="109" customFormat="1" ht="13.15">
      <c r="A15" s="113" t="s">
        <v>209</v>
      </c>
      <c r="B15" s="177"/>
      <c r="C15" s="179"/>
      <c r="D15" s="179"/>
      <c r="E15" s="113"/>
      <c r="R15" s="340"/>
    </row>
    <row r="16" spans="1:18" s="109" customFormat="1" ht="13.15">
      <c r="A16" s="54" t="s">
        <v>393</v>
      </c>
      <c r="B16" s="54" t="s">
        <v>206</v>
      </c>
      <c r="C16" s="398" t="s">
        <v>275</v>
      </c>
      <c r="D16" s="398" t="s">
        <v>398</v>
      </c>
      <c r="E16" s="398" t="s">
        <v>399</v>
      </c>
      <c r="F16" s="399" t="s">
        <v>78</v>
      </c>
    </row>
    <row r="17" spans="1:18" s="109" customFormat="1" ht="13.15">
      <c r="A17" s="54"/>
      <c r="B17" s="54"/>
      <c r="C17" s="398" t="s">
        <v>400</v>
      </c>
      <c r="D17" s="398"/>
      <c r="E17" s="400"/>
      <c r="F17" s="354"/>
    </row>
    <row r="18" spans="1:18" s="109" customFormat="1" ht="13.15">
      <c r="A18" s="54"/>
      <c r="B18" s="54"/>
      <c r="C18" s="398" t="s">
        <v>36</v>
      </c>
      <c r="D18" s="398"/>
      <c r="E18" s="400"/>
      <c r="F18" s="354"/>
    </row>
    <row r="19" spans="1:18" s="340" customFormat="1" ht="13.15">
      <c r="A19" s="357"/>
      <c r="B19" s="357"/>
      <c r="C19" s="357"/>
      <c r="D19" s="357"/>
      <c r="E19" s="357"/>
      <c r="J19" s="109"/>
      <c r="K19" s="109"/>
      <c r="L19" s="109"/>
      <c r="M19" s="109"/>
      <c r="N19" s="109"/>
      <c r="O19" s="109"/>
      <c r="P19" s="109"/>
      <c r="Q19" s="109"/>
      <c r="R19" s="109"/>
    </row>
    <row r="20" spans="1:18" s="109" customFormat="1" ht="13.15">
      <c r="A20" s="177" t="s">
        <v>226</v>
      </c>
      <c r="B20" s="61"/>
      <c r="C20" s="179"/>
      <c r="D20" s="179"/>
    </row>
    <row r="21" spans="1:18" s="109" customFormat="1" ht="13.15">
      <c r="A21" s="61"/>
      <c r="B21" s="61"/>
      <c r="C21" s="179"/>
      <c r="D21" s="179"/>
    </row>
    <row r="22" spans="1:18" s="109" customFormat="1" ht="13.15"/>
    <row r="23" spans="1:18" s="109" customFormat="1" ht="13.15"/>
    <row r="24" spans="1:18" s="109" customFormat="1" ht="13.15">
      <c r="D24" s="627" t="e">
        <v>#N/A</v>
      </c>
      <c r="E24" s="627"/>
    </row>
    <row r="25" spans="1:18" s="109" customFormat="1" ht="13.15">
      <c r="D25" s="169" t="s">
        <v>227</v>
      </c>
    </row>
    <row r="26" spans="1:18" s="109" customFormat="1" ht="13.15">
      <c r="D26" s="401" t="s">
        <v>228</v>
      </c>
    </row>
    <row r="27" spans="1:18" s="109" customFormat="1" ht="13.15"/>
    <row r="28" spans="1:18" s="109" customFormat="1" ht="13.15">
      <c r="A28" s="402" t="s">
        <v>229</v>
      </c>
      <c r="B28" s="374"/>
      <c r="C28" s="374"/>
      <c r="D28" s="605" t="s">
        <v>230</v>
      </c>
      <c r="E28" s="374"/>
      <c r="F28" s="403"/>
    </row>
    <row r="29" spans="1:18" s="109" customFormat="1" ht="13.15">
      <c r="A29" s="375"/>
      <c r="D29" s="375"/>
      <c r="E29" s="404"/>
      <c r="F29" s="376"/>
    </row>
    <row r="30" spans="1:18" s="109" customFormat="1" ht="13.15">
      <c r="A30" s="375"/>
      <c r="D30" s="375"/>
      <c r="E30" s="404"/>
      <c r="F30" s="376"/>
    </row>
    <row r="31" spans="1:18" s="109" customFormat="1" ht="13.15">
      <c r="A31" s="375"/>
      <c r="D31" s="375"/>
      <c r="E31" s="404"/>
      <c r="F31" s="376"/>
    </row>
    <row r="32" spans="1:18" s="109" customFormat="1" ht="13.15">
      <c r="A32" s="375"/>
      <c r="D32" s="375"/>
      <c r="E32" s="404"/>
      <c r="F32" s="376"/>
    </row>
    <row r="33" spans="1:18" s="109" customFormat="1" ht="13.15">
      <c r="A33" s="375"/>
      <c r="D33" s="375"/>
      <c r="E33" s="404"/>
      <c r="F33" s="376"/>
    </row>
    <row r="34" spans="1:18" s="109" customFormat="1" ht="13.15">
      <c r="A34" s="375"/>
      <c r="D34" s="375"/>
      <c r="E34" s="404"/>
      <c r="F34" s="376"/>
    </row>
    <row r="35" spans="1:18" s="109" customFormat="1" ht="13.15">
      <c r="A35" s="375"/>
      <c r="D35" s="375"/>
      <c r="E35" s="404"/>
      <c r="F35" s="376"/>
    </row>
    <row r="36" spans="1:18" s="109" customFormat="1" ht="13.15">
      <c r="A36" s="375"/>
      <c r="D36" s="375"/>
      <c r="E36" s="404"/>
      <c r="F36" s="376"/>
    </row>
    <row r="37" spans="1:18" s="109" customFormat="1" ht="13.15">
      <c r="A37" s="375"/>
      <c r="D37" s="375"/>
      <c r="E37" s="404"/>
      <c r="F37" s="376"/>
    </row>
    <row r="38" spans="1:18" s="109" customFormat="1" ht="13.15">
      <c r="A38" s="375"/>
      <c r="D38" s="375"/>
      <c r="E38" s="404"/>
      <c r="F38" s="376"/>
    </row>
    <row r="39" spans="1:18" s="109" customFormat="1" ht="13.15">
      <c r="A39" s="375"/>
      <c r="B39" s="113"/>
      <c r="D39" s="375"/>
      <c r="E39" s="404"/>
      <c r="F39" s="376"/>
    </row>
    <row r="40" spans="1:18" s="109" customFormat="1" ht="13.15">
      <c r="A40" s="375"/>
      <c r="B40" s="377" t="s">
        <v>231</v>
      </c>
      <c r="D40" s="375"/>
      <c r="E40" s="405" t="s">
        <v>231</v>
      </c>
      <c r="F40" s="376"/>
      <c r="J40" s="341"/>
      <c r="K40" s="341"/>
      <c r="L40" s="341"/>
      <c r="M40" s="341"/>
      <c r="N40" s="341"/>
      <c r="O40" s="341"/>
      <c r="P40" s="341"/>
      <c r="Q40" s="341"/>
      <c r="R40" s="341"/>
    </row>
    <row r="41" spans="1:18" s="109" customFormat="1" ht="13.15">
      <c r="A41" s="375"/>
      <c r="B41" s="377" t="s">
        <v>232</v>
      </c>
      <c r="D41" s="375"/>
      <c r="E41" s="405" t="s">
        <v>232</v>
      </c>
      <c r="F41" s="376"/>
      <c r="J41" s="341"/>
      <c r="K41" s="341"/>
      <c r="L41" s="341"/>
      <c r="M41" s="341"/>
      <c r="N41" s="341"/>
      <c r="O41" s="341"/>
      <c r="P41" s="341"/>
      <c r="Q41" s="341"/>
      <c r="R41" s="341"/>
    </row>
    <row r="42" spans="1:18" s="109" customFormat="1" ht="13.15">
      <c r="A42" s="375"/>
      <c r="B42" s="377" t="s">
        <v>227</v>
      </c>
      <c r="D42" s="375"/>
      <c r="E42" s="405" t="s">
        <v>227</v>
      </c>
      <c r="F42" s="376"/>
      <c r="J42" s="341"/>
      <c r="K42" s="341"/>
      <c r="L42" s="341"/>
      <c r="M42" s="341"/>
      <c r="N42" s="341"/>
      <c r="O42" s="341"/>
      <c r="P42" s="341"/>
      <c r="Q42" s="341"/>
      <c r="R42" s="341"/>
    </row>
    <row r="43" spans="1:18" s="109" customFormat="1" ht="13.15">
      <c r="A43" s="379"/>
      <c r="B43" s="395"/>
      <c r="C43" s="380"/>
      <c r="D43" s="379"/>
      <c r="E43" s="380"/>
      <c r="F43" s="381"/>
      <c r="J43" s="341"/>
      <c r="K43" s="341"/>
      <c r="L43" s="341"/>
      <c r="M43" s="341"/>
      <c r="N43" s="341"/>
      <c r="O43" s="341"/>
      <c r="P43" s="341"/>
      <c r="Q43" s="341"/>
      <c r="R43" s="341"/>
    </row>
    <row r="44" spans="1:18">
      <c r="B44" s="342"/>
    </row>
    <row r="45" spans="1:18">
      <c r="B45" s="342"/>
    </row>
  </sheetData>
  <mergeCells count="4">
    <mergeCell ref="C2:D2"/>
    <mergeCell ref="M13:Q13"/>
    <mergeCell ref="D24:E24"/>
    <mergeCell ref="A6:F11"/>
  </mergeCells>
  <phoneticPr fontId="98" type="noConversion"/>
  <pageMargins left="0.7" right="0.7" top="0.75" bottom="0.75" header="0.3" footer="0.3"/>
  <pageSetup paperSize="9" scale="81"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5"/>
  <dimension ref="A1:Y49"/>
  <sheetViews>
    <sheetView view="pageBreakPreview" topLeftCell="G1" zoomScale="115" zoomScaleNormal="100" zoomScaleSheetLayoutView="115" workbookViewId="0">
      <selection activeCell="O9" sqref="O9"/>
    </sheetView>
  </sheetViews>
  <sheetFormatPr defaultColWidth="8.265625" defaultRowHeight="12.75"/>
  <cols>
    <col min="1" max="1" width="19.6640625" style="341" customWidth="1"/>
    <col min="2" max="2" width="10.796875" style="341" customWidth="1"/>
    <col min="3" max="3" width="15.796875" style="341" customWidth="1"/>
    <col min="4" max="4" width="11" style="341" customWidth="1"/>
    <col min="5" max="5" width="14.6640625" style="341" customWidth="1"/>
    <col min="6" max="6" width="14.265625" style="341" customWidth="1"/>
    <col min="7" max="7" width="12.06640625" style="341" customWidth="1"/>
    <col min="8" max="8" width="11.59765625" style="341" customWidth="1"/>
    <col min="9" max="12" width="8.265625" style="341"/>
    <col min="13" max="13" width="11.33203125" style="341" customWidth="1"/>
    <col min="14" max="16384" width="8.265625" style="341"/>
  </cols>
  <sheetData>
    <row r="1" spans="1:25" ht="52.5" customHeight="1">
      <c r="G1" s="763"/>
      <c r="H1" s="763"/>
    </row>
    <row r="2" spans="1:25" ht="17.649999999999999">
      <c r="A2" s="764" t="s">
        <v>186</v>
      </c>
      <c r="B2" s="764"/>
      <c r="C2" s="764"/>
      <c r="D2" s="764"/>
      <c r="E2" s="764"/>
      <c r="F2" s="764"/>
      <c r="G2" s="764"/>
      <c r="H2" s="764"/>
      <c r="K2" s="382" t="str">
        <f>HYPERLINK("#基本信息!I1","返回基本信息")</f>
        <v>返回基本信息</v>
      </c>
    </row>
    <row r="3" spans="1:25" s="109" customFormat="1" ht="20.55" customHeight="1">
      <c r="A3" s="343"/>
      <c r="B3" s="343"/>
      <c r="C3" s="343"/>
      <c r="D3" s="343"/>
      <c r="F3" s="169" t="s">
        <v>401</v>
      </c>
      <c r="G3" s="765" t="e">
        <f>INDEX(基本信息!E:E,MATCH(企业询证函模板!G4,基本信息!D:D,0))</f>
        <v>#N/A</v>
      </c>
      <c r="H3" s="765"/>
      <c r="K3" s="382" t="str">
        <f>HYPERLINK("#操作平台!A3","返回操作平台")</f>
        <v>返回操作平台</v>
      </c>
      <c r="N3" s="209" t="s">
        <v>188</v>
      </c>
    </row>
    <row r="4" spans="1:25" s="109" customFormat="1" ht="18.5" customHeight="1">
      <c r="A4" s="344"/>
      <c r="B4" s="344"/>
      <c r="C4" s="344"/>
      <c r="D4" s="344"/>
      <c r="F4" s="169" t="s">
        <v>402</v>
      </c>
      <c r="G4" s="766"/>
      <c r="H4" s="766"/>
    </row>
    <row r="5" spans="1:25" s="109" customFormat="1" ht="20" customHeight="1">
      <c r="A5" s="345" t="e">
        <f>INDEX(基本信息!C:C,MATCH(企业询证函模板!G4,基本信息!D:D,0))&amp;"："</f>
        <v>#N/A</v>
      </c>
      <c r="B5" s="61"/>
      <c r="K5" s="382" t="str">
        <f>HYPERLINK("#使用说明!B2","返回模板池")</f>
        <v>返回模板池</v>
      </c>
      <c r="N5" s="44" t="s">
        <v>51</v>
      </c>
      <c r="O5" s="210" t="s">
        <v>403</v>
      </c>
    </row>
    <row r="6" spans="1:25" s="109" customFormat="1" ht="14.55" customHeight="1">
      <c r="A6" s="628" t="s">
        <v>404</v>
      </c>
      <c r="B6" s="628"/>
      <c r="C6" s="628"/>
      <c r="D6" s="628"/>
      <c r="E6" s="628"/>
      <c r="F6" s="628"/>
      <c r="G6" s="628"/>
      <c r="H6" s="628"/>
      <c r="N6" s="44" t="s">
        <v>53</v>
      </c>
      <c r="O6" s="210" t="s">
        <v>405</v>
      </c>
    </row>
    <row r="7" spans="1:25" s="109" customFormat="1" ht="14.55" customHeight="1">
      <c r="A7" s="628"/>
      <c r="B7" s="628"/>
      <c r="C7" s="628"/>
      <c r="D7" s="628"/>
      <c r="E7" s="628"/>
      <c r="F7" s="628"/>
      <c r="G7" s="628"/>
      <c r="H7" s="628"/>
      <c r="N7" s="44" t="s">
        <v>55</v>
      </c>
      <c r="O7" s="210" t="s">
        <v>191</v>
      </c>
    </row>
    <row r="8" spans="1:25" s="109" customFormat="1" ht="14.55" customHeight="1">
      <c r="A8" s="628"/>
      <c r="B8" s="628"/>
      <c r="C8" s="628"/>
      <c r="D8" s="628"/>
      <c r="E8" s="628"/>
      <c r="F8" s="628"/>
      <c r="G8" s="628"/>
      <c r="H8" s="628"/>
      <c r="N8" s="44" t="s">
        <v>57</v>
      </c>
      <c r="O8" s="210" t="s">
        <v>406</v>
      </c>
    </row>
    <row r="9" spans="1:25" s="109" customFormat="1" ht="14.55" customHeight="1">
      <c r="A9" s="628"/>
      <c r="B9" s="628"/>
      <c r="C9" s="628"/>
      <c r="D9" s="628"/>
      <c r="E9" s="628"/>
      <c r="F9" s="628"/>
      <c r="G9" s="628"/>
      <c r="H9" s="628"/>
      <c r="N9" s="44" t="s">
        <v>59</v>
      </c>
      <c r="O9" s="383" t="s">
        <v>30</v>
      </c>
    </row>
    <row r="10" spans="1:25" s="109" customFormat="1" ht="14.55" customHeight="1">
      <c r="A10" s="628"/>
      <c r="B10" s="628"/>
      <c r="C10" s="628"/>
      <c r="D10" s="628"/>
      <c r="E10" s="628"/>
      <c r="F10" s="628"/>
      <c r="G10" s="628"/>
      <c r="H10" s="628"/>
      <c r="N10" s="47" t="s">
        <v>60</v>
      </c>
      <c r="O10" s="113" t="s">
        <v>407</v>
      </c>
    </row>
    <row r="11" spans="1:25" s="109" customFormat="1" ht="11.55" customHeight="1">
      <c r="A11" s="628"/>
      <c r="B11" s="628"/>
      <c r="C11" s="628"/>
      <c r="D11" s="628"/>
      <c r="E11" s="628"/>
      <c r="F11" s="628"/>
      <c r="G11" s="628"/>
      <c r="H11" s="628"/>
      <c r="N11" s="47" t="s">
        <v>62</v>
      </c>
      <c r="O11" s="113">
        <v>60</v>
      </c>
    </row>
    <row r="12" spans="1:25" s="109" customFormat="1" ht="20" customHeight="1">
      <c r="A12" s="346" t="s">
        <v>408</v>
      </c>
      <c r="B12" s="61"/>
      <c r="C12" s="173"/>
      <c r="D12" s="176"/>
      <c r="F12" s="347" t="s">
        <v>409</v>
      </c>
      <c r="G12" s="347"/>
      <c r="H12" s="61"/>
    </row>
    <row r="13" spans="1:25" s="109" customFormat="1" ht="20" customHeight="1">
      <c r="A13" s="346" t="s">
        <v>410</v>
      </c>
      <c r="B13" s="348"/>
      <c r="C13" s="349"/>
      <c r="D13" s="349"/>
      <c r="F13" s="346" t="s">
        <v>411</v>
      </c>
      <c r="G13" s="347"/>
      <c r="H13" s="61"/>
      <c r="M13" s="210"/>
      <c r="N13" s="210"/>
      <c r="O13" s="210"/>
      <c r="P13" s="384"/>
      <c r="Q13" s="384"/>
      <c r="R13" s="384"/>
      <c r="S13" s="384"/>
      <c r="T13" s="384"/>
    </row>
    <row r="14" spans="1:25" s="109" customFormat="1" ht="13.15">
      <c r="A14" s="61"/>
      <c r="G14" s="169"/>
      <c r="H14" s="178"/>
      <c r="M14" s="50" t="s">
        <v>65</v>
      </c>
      <c r="N14" s="273" t="s">
        <v>66</v>
      </c>
      <c r="O14" s="50" t="s">
        <v>67</v>
      </c>
      <c r="P14" s="623" t="s">
        <v>68</v>
      </c>
      <c r="Q14" s="623"/>
      <c r="R14" s="623"/>
      <c r="S14" s="623"/>
      <c r="T14" s="623"/>
      <c r="U14" s="623"/>
      <c r="V14" s="623"/>
      <c r="W14" s="623"/>
      <c r="X14" s="623"/>
      <c r="Y14" s="623"/>
    </row>
    <row r="15" spans="1:25" s="109" customFormat="1" ht="17" customHeight="1">
      <c r="A15" s="173" t="s">
        <v>412</v>
      </c>
      <c r="B15" s="61"/>
      <c r="C15" s="179"/>
      <c r="D15" s="179"/>
      <c r="E15" s="179"/>
      <c r="F15" s="179"/>
      <c r="G15" s="179"/>
      <c r="H15" s="113"/>
      <c r="M15" s="385" t="s">
        <v>413</v>
      </c>
      <c r="N15" s="53">
        <v>17</v>
      </c>
      <c r="O15" s="54" t="s">
        <v>67</v>
      </c>
      <c r="P15" s="386" t="s">
        <v>414</v>
      </c>
      <c r="Q15" s="386" t="s">
        <v>415</v>
      </c>
      <c r="R15" s="386" t="s">
        <v>416</v>
      </c>
      <c r="S15" s="387" t="s">
        <v>417</v>
      </c>
      <c r="T15" s="387" t="s">
        <v>418</v>
      </c>
      <c r="U15" s="388" t="s">
        <v>419</v>
      </c>
      <c r="V15" s="389" t="s">
        <v>420</v>
      </c>
      <c r="W15" s="389" t="s">
        <v>421</v>
      </c>
      <c r="X15" s="390"/>
      <c r="Y15" s="390"/>
    </row>
    <row r="16" spans="1:25" s="109" customFormat="1" ht="42.5" customHeight="1">
      <c r="A16" s="350" t="s">
        <v>422</v>
      </c>
      <c r="B16" s="350" t="s">
        <v>423</v>
      </c>
      <c r="C16" s="351" t="s">
        <v>424</v>
      </c>
      <c r="D16" s="351" t="s">
        <v>425</v>
      </c>
      <c r="E16" s="351" t="s">
        <v>426</v>
      </c>
      <c r="F16" s="352" t="s">
        <v>427</v>
      </c>
      <c r="G16" s="353" t="s">
        <v>428</v>
      </c>
      <c r="H16" s="352" t="s">
        <v>429</v>
      </c>
    </row>
    <row r="17" spans="1:20" s="109" customFormat="1" ht="55.05" customHeight="1">
      <c r="A17" s="354"/>
      <c r="B17" s="354"/>
      <c r="C17" s="355"/>
      <c r="D17" s="355"/>
      <c r="E17" s="355"/>
      <c r="F17" s="355"/>
      <c r="G17" s="355"/>
      <c r="H17" s="356"/>
    </row>
    <row r="18" spans="1:20" s="109" customFormat="1" ht="55.05" customHeight="1">
      <c r="A18" s="354"/>
      <c r="B18" s="354"/>
      <c r="C18" s="355"/>
      <c r="D18" s="355"/>
      <c r="E18" s="355"/>
      <c r="F18" s="355"/>
      <c r="G18" s="355"/>
      <c r="H18" s="356"/>
    </row>
    <row r="19" spans="1:20" s="340" customFormat="1" ht="21.5" customHeight="1">
      <c r="A19" s="357"/>
      <c r="B19" s="357"/>
      <c r="C19" s="357"/>
      <c r="D19" s="358" t="s">
        <v>430</v>
      </c>
      <c r="E19" s="359">
        <f>SUM($E$16:E18)</f>
        <v>0</v>
      </c>
      <c r="F19" s="359">
        <f>SUM($F$16:F18)</f>
        <v>0</v>
      </c>
      <c r="G19" s="357"/>
      <c r="H19" s="357"/>
      <c r="M19" s="109"/>
      <c r="N19" s="109"/>
      <c r="O19" s="109"/>
      <c r="P19" s="109"/>
      <c r="Q19" s="109"/>
      <c r="R19" s="109"/>
      <c r="S19" s="109"/>
      <c r="T19" s="109"/>
    </row>
    <row r="20" spans="1:20" s="109" customFormat="1" ht="13.9">
      <c r="A20" s="360"/>
      <c r="B20" s="360"/>
      <c r="C20" s="360"/>
      <c r="D20" s="360"/>
      <c r="E20" s="360"/>
      <c r="F20" s="360"/>
      <c r="G20" s="360"/>
      <c r="H20" s="360"/>
    </row>
    <row r="21" spans="1:20" s="109" customFormat="1" ht="16.05" customHeight="1">
      <c r="A21" s="361" t="s">
        <v>431</v>
      </c>
      <c r="B21" s="362"/>
      <c r="C21" s="362"/>
      <c r="D21" s="362"/>
      <c r="E21" s="363"/>
      <c r="F21" s="364"/>
      <c r="G21" s="365"/>
      <c r="H21" s="365"/>
    </row>
    <row r="22" spans="1:20" s="109" customFormat="1" ht="16.05" customHeight="1">
      <c r="A22" s="759" t="s">
        <v>432</v>
      </c>
      <c r="B22" s="759"/>
      <c r="C22" s="759"/>
      <c r="D22" s="759"/>
      <c r="E22" s="759"/>
      <c r="F22" s="759"/>
      <c r="G22" s="759"/>
      <c r="H22" s="759"/>
    </row>
    <row r="23" spans="1:20" s="109" customFormat="1" ht="16.05" customHeight="1">
      <c r="A23" s="759" t="s">
        <v>433</v>
      </c>
      <c r="B23" s="759"/>
      <c r="C23" s="759"/>
      <c r="D23" s="759"/>
      <c r="E23" s="759"/>
      <c r="F23" s="759"/>
      <c r="G23" s="759"/>
      <c r="H23" s="759"/>
    </row>
    <row r="24" spans="1:20" s="109" customFormat="1" ht="16.05" customHeight="1">
      <c r="A24" s="759" t="s">
        <v>434</v>
      </c>
      <c r="B24" s="759"/>
      <c r="C24" s="759"/>
      <c r="D24" s="759"/>
      <c r="E24" s="759"/>
      <c r="F24" s="759"/>
      <c r="G24" s="759"/>
      <c r="H24" s="759"/>
    </row>
    <row r="25" spans="1:20" s="109" customFormat="1" ht="16.05" customHeight="1">
      <c r="A25" s="759" t="s">
        <v>435</v>
      </c>
      <c r="B25" s="759"/>
      <c r="C25" s="759"/>
      <c r="D25" s="759"/>
      <c r="E25" s="759"/>
      <c r="F25" s="759"/>
      <c r="G25" s="759"/>
      <c r="H25" s="759"/>
    </row>
    <row r="26" spans="1:20" s="109" customFormat="1" ht="13.15">
      <c r="A26" s="366"/>
      <c r="B26" s="366"/>
      <c r="C26" s="367"/>
      <c r="D26" s="367"/>
      <c r="E26" s="368"/>
      <c r="F26" s="368"/>
      <c r="G26" s="368"/>
      <c r="H26" s="368"/>
    </row>
    <row r="27" spans="1:20" s="109" customFormat="1" ht="16.5" customHeight="1">
      <c r="A27" s="173" t="s">
        <v>436</v>
      </c>
      <c r="B27" s="369"/>
      <c r="C27" s="357"/>
      <c r="D27" s="357"/>
      <c r="E27" s="370"/>
      <c r="F27" s="370"/>
      <c r="G27" s="370"/>
      <c r="H27" s="357"/>
    </row>
    <row r="28" spans="1:20" s="109" customFormat="1" ht="21" customHeight="1">
      <c r="A28" s="760"/>
      <c r="B28" s="761"/>
      <c r="C28" s="761"/>
      <c r="D28" s="761"/>
      <c r="E28" s="761"/>
      <c r="F28" s="761"/>
      <c r="G28" s="761"/>
      <c r="H28" s="762"/>
    </row>
    <row r="29" spans="1:20" s="109" customFormat="1" ht="16.5" customHeight="1">
      <c r="A29" s="371" t="s">
        <v>437</v>
      </c>
      <c r="B29" s="61"/>
      <c r="C29" s="179"/>
      <c r="D29" s="179"/>
      <c r="E29" s="179"/>
      <c r="F29" s="179"/>
      <c r="G29" s="179"/>
    </row>
    <row r="30" spans="1:20" s="109" customFormat="1" ht="13.15"/>
    <row r="31" spans="1:20" s="109" customFormat="1" ht="13.15"/>
    <row r="32" spans="1:20" s="109" customFormat="1" ht="13.15">
      <c r="E32" s="627" t="e">
        <f>INDEX(基本信息!B:B,MATCH(G4,基本信息!D:D,0))</f>
        <v>#N/A</v>
      </c>
      <c r="F32" s="627"/>
      <c r="G32" s="627"/>
      <c r="H32" s="627"/>
    </row>
    <row r="33" spans="1:8" s="109" customFormat="1" ht="13.15">
      <c r="E33" s="169"/>
      <c r="F33" s="169"/>
      <c r="G33" s="169"/>
    </row>
    <row r="34" spans="1:8" s="109" customFormat="1" ht="13.15">
      <c r="E34" s="755">
        <v>43831</v>
      </c>
      <c r="F34" s="755"/>
      <c r="G34" s="755"/>
      <c r="H34" s="755"/>
    </row>
    <row r="35" spans="1:8" s="109" customFormat="1" ht="13.15"/>
    <row r="36" spans="1:8" s="109" customFormat="1" ht="16.5" customHeight="1">
      <c r="A36" s="372" t="s">
        <v>438</v>
      </c>
      <c r="B36" s="373"/>
      <c r="C36" s="373"/>
      <c r="D36" s="374"/>
      <c r="E36" s="749" t="s">
        <v>439</v>
      </c>
      <c r="F36" s="750"/>
      <c r="G36" s="750"/>
      <c r="H36" s="751"/>
    </row>
    <row r="37" spans="1:8" s="109" customFormat="1" ht="13.15">
      <c r="A37" s="375"/>
      <c r="E37" s="752"/>
      <c r="F37" s="753"/>
      <c r="G37" s="753"/>
      <c r="H37" s="754"/>
    </row>
    <row r="38" spans="1:8" s="109" customFormat="1" ht="13.15">
      <c r="A38" s="375"/>
      <c r="E38" s="375"/>
      <c r="H38" s="376"/>
    </row>
    <row r="39" spans="1:8" s="109" customFormat="1" ht="13.15">
      <c r="A39" s="375"/>
      <c r="E39" s="375"/>
      <c r="H39" s="376"/>
    </row>
    <row r="40" spans="1:8" s="109" customFormat="1" ht="13.15">
      <c r="A40" s="375"/>
      <c r="E40" s="375"/>
      <c r="H40" s="376"/>
    </row>
    <row r="41" spans="1:8" s="109" customFormat="1" ht="13.15">
      <c r="A41" s="375"/>
      <c r="E41" s="375"/>
      <c r="H41" s="376"/>
    </row>
    <row r="42" spans="1:8" s="109" customFormat="1" ht="13.15">
      <c r="A42" s="375"/>
      <c r="E42" s="375"/>
      <c r="H42" s="376"/>
    </row>
    <row r="43" spans="1:8" s="109" customFormat="1" ht="13.15">
      <c r="A43" s="375"/>
      <c r="E43" s="375"/>
      <c r="H43" s="376"/>
    </row>
    <row r="44" spans="1:8" s="109" customFormat="1" ht="13.15">
      <c r="A44" s="375"/>
      <c r="E44" s="375"/>
      <c r="H44" s="376"/>
    </row>
    <row r="45" spans="1:8" s="109" customFormat="1" ht="13.15">
      <c r="A45" s="375"/>
      <c r="E45" s="375"/>
      <c r="H45" s="376"/>
    </row>
    <row r="46" spans="1:8" s="109" customFormat="1" ht="13.15">
      <c r="A46" s="375"/>
      <c r="C46" s="756" t="s">
        <v>231</v>
      </c>
      <c r="D46" s="757"/>
      <c r="E46" s="378"/>
      <c r="G46" s="756" t="s">
        <v>231</v>
      </c>
      <c r="H46" s="757"/>
    </row>
    <row r="47" spans="1:8" s="109" customFormat="1" ht="13.15">
      <c r="A47" s="375"/>
      <c r="C47" s="758" t="s">
        <v>440</v>
      </c>
      <c r="D47" s="757"/>
      <c r="E47" s="378"/>
      <c r="G47" s="758" t="s">
        <v>441</v>
      </c>
      <c r="H47" s="757"/>
    </row>
    <row r="48" spans="1:8" s="109" customFormat="1" ht="13.15">
      <c r="A48" s="375"/>
      <c r="C48" s="747" t="s">
        <v>227</v>
      </c>
      <c r="D48" s="748"/>
      <c r="E48" s="378"/>
      <c r="G48" s="747" t="s">
        <v>227</v>
      </c>
      <c r="H48" s="748"/>
    </row>
    <row r="49" spans="1:8" s="109" customFormat="1" ht="13.15">
      <c r="A49" s="379"/>
      <c r="B49" s="380"/>
      <c r="C49" s="380"/>
      <c r="D49" s="380"/>
      <c r="E49" s="379"/>
      <c r="F49" s="380"/>
      <c r="G49" s="380"/>
      <c r="H49" s="381"/>
    </row>
  </sheetData>
  <mergeCells count="20">
    <mergeCell ref="G1:H1"/>
    <mergeCell ref="A2:H2"/>
    <mergeCell ref="G3:H3"/>
    <mergeCell ref="G4:H4"/>
    <mergeCell ref="P14:Y14"/>
    <mergeCell ref="C48:D48"/>
    <mergeCell ref="G48:H48"/>
    <mergeCell ref="E36:H37"/>
    <mergeCell ref="A6:H11"/>
    <mergeCell ref="E32:H32"/>
    <mergeCell ref="E34:H34"/>
    <mergeCell ref="C46:D46"/>
    <mergeCell ref="G46:H46"/>
    <mergeCell ref="C47:D47"/>
    <mergeCell ref="G47:H47"/>
    <mergeCell ref="A22:H22"/>
    <mergeCell ref="A23:H23"/>
    <mergeCell ref="A24:H24"/>
    <mergeCell ref="A25:H25"/>
    <mergeCell ref="A28:H28"/>
  </mergeCells>
  <phoneticPr fontId="98" type="noConversion"/>
  <pageMargins left="0.7" right="0.7" top="0.75" bottom="0.75" header="0.3" footer="0.3"/>
  <pageSetup paperSize="9" scale="7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dimension ref="A1:U109"/>
  <sheetViews>
    <sheetView view="pageBreakPreview" topLeftCell="G10" zoomScale="115" zoomScaleNormal="115" zoomScaleSheetLayoutView="115" workbookViewId="0">
      <selection activeCell="K20" sqref="K20:S23"/>
    </sheetView>
  </sheetViews>
  <sheetFormatPr defaultColWidth="8.59765625" defaultRowHeight="13.9"/>
  <cols>
    <col min="1" max="1" width="21.46484375" style="316" customWidth="1"/>
    <col min="2" max="7" width="11" style="316" customWidth="1"/>
    <col min="8" max="16384" width="8.59765625" style="316"/>
  </cols>
  <sheetData>
    <row r="1" spans="1:14" ht="42.7" customHeight="1"/>
    <row r="2" spans="1:14" ht="15.75">
      <c r="A2" s="317" t="e">
        <f>INDEX(基本信息!C:C,MATCH(F5,基本信息!D:D,0))</f>
        <v>#N/A</v>
      </c>
      <c r="B2"/>
      <c r="C2"/>
      <c r="D2"/>
      <c r="E2"/>
      <c r="F2"/>
      <c r="G2"/>
    </row>
    <row r="3" spans="1:14">
      <c r="A3"/>
      <c r="B3"/>
      <c r="C3"/>
      <c r="D3"/>
    </row>
    <row r="4" spans="1:14">
      <c r="A4" s="318"/>
      <c r="B4"/>
      <c r="C4"/>
      <c r="D4"/>
      <c r="E4" s="318" t="s">
        <v>442</v>
      </c>
      <c r="F4" s="319" t="e">
        <f>INDEX(基本信息!E:E,MATCH(F5,基本信息!D:D,0))</f>
        <v>#N/A</v>
      </c>
      <c r="G4" s="320"/>
    </row>
    <row r="5" spans="1:14">
      <c r="A5" s="318"/>
      <c r="B5"/>
      <c r="C5"/>
      <c r="D5"/>
      <c r="E5" s="318" t="s">
        <v>443</v>
      </c>
      <c r="F5" s="321" t="s">
        <v>444</v>
      </c>
      <c r="G5" s="322"/>
    </row>
    <row r="6" spans="1:14">
      <c r="A6" s="323" t="s">
        <v>445</v>
      </c>
      <c r="B6"/>
      <c r="C6"/>
      <c r="D6"/>
      <c r="E6"/>
      <c r="F6" s="320"/>
      <c r="G6" s="320"/>
      <c r="M6" s="160" t="s">
        <v>188</v>
      </c>
      <c r="N6" s="161"/>
    </row>
    <row r="7" spans="1:14">
      <c r="A7" s="323"/>
      <c r="B7"/>
      <c r="C7"/>
      <c r="D7"/>
      <c r="E7"/>
      <c r="F7"/>
      <c r="G7"/>
      <c r="M7" s="44" t="s">
        <v>51</v>
      </c>
      <c r="N7" s="45" t="s">
        <v>56</v>
      </c>
    </row>
    <row r="8" spans="1:14">
      <c r="A8" s="324" t="s">
        <v>446</v>
      </c>
      <c r="B8"/>
      <c r="C8"/>
      <c r="D8"/>
      <c r="E8"/>
      <c r="F8"/>
      <c r="G8"/>
      <c r="M8" s="44" t="s">
        <v>53</v>
      </c>
      <c r="N8" s="45" t="s">
        <v>389</v>
      </c>
    </row>
    <row r="9" spans="1:14">
      <c r="A9" s="323"/>
      <c r="B9"/>
      <c r="C9"/>
      <c r="D9"/>
      <c r="E9"/>
      <c r="F9"/>
      <c r="G9"/>
      <c r="M9" s="44" t="s">
        <v>55</v>
      </c>
      <c r="N9" s="45" t="s">
        <v>405</v>
      </c>
    </row>
    <row r="10" spans="1:14">
      <c r="A10" s="323" t="s">
        <v>447</v>
      </c>
      <c r="B10" t="e">
        <f>INDEX(基本信息!B:B,MATCH(F5,基本信息!D:D,0))</f>
        <v>#N/A</v>
      </c>
      <c r="C10"/>
      <c r="D10"/>
      <c r="E10"/>
      <c r="F10"/>
      <c r="G10"/>
      <c r="M10" s="44" t="s">
        <v>57</v>
      </c>
      <c r="N10" s="45" t="s">
        <v>448</v>
      </c>
    </row>
    <row r="11" spans="1:14">
      <c r="A11" s="609" t="s">
        <v>449</v>
      </c>
      <c r="B11" s="609"/>
      <c r="C11" s="609"/>
      <c r="D11" s="609"/>
      <c r="E11" s="609"/>
      <c r="F11" s="609"/>
      <c r="G11" s="609"/>
      <c r="M11" s="44" t="s">
        <v>59</v>
      </c>
      <c r="N11" s="46" t="s">
        <v>15</v>
      </c>
    </row>
    <row r="12" spans="1:14">
      <c r="A12" s="609"/>
      <c r="B12" s="609"/>
      <c r="C12" s="609"/>
      <c r="D12" s="609"/>
      <c r="E12" s="609"/>
      <c r="F12" s="609"/>
      <c r="G12" s="609"/>
      <c r="M12" s="47" t="s">
        <v>60</v>
      </c>
      <c r="N12" s="48" t="s">
        <v>391</v>
      </c>
    </row>
    <row r="13" spans="1:14">
      <c r="A13" s="609" t="s">
        <v>450</v>
      </c>
      <c r="B13" s="609"/>
      <c r="C13" s="609"/>
      <c r="D13" s="609"/>
      <c r="E13" s="609"/>
      <c r="F13" s="609"/>
      <c r="G13" s="609"/>
      <c r="M13" s="271" t="s">
        <v>62</v>
      </c>
      <c r="N13" s="49">
        <v>80</v>
      </c>
    </row>
    <row r="14" spans="1:14">
      <c r="A14" s="609"/>
      <c r="B14" s="609"/>
      <c r="C14" s="609"/>
      <c r="D14" s="609"/>
      <c r="E14" s="609"/>
      <c r="F14" s="609"/>
      <c r="G14" s="609"/>
    </row>
    <row r="15" spans="1:14" ht="14" customHeight="1">
      <c r="A15" s="783" t="s">
        <v>451</v>
      </c>
      <c r="B15" s="783"/>
      <c r="C15" s="783"/>
      <c r="D15" s="783"/>
      <c r="E15" s="783"/>
      <c r="F15" s="783"/>
      <c r="G15" s="783"/>
    </row>
    <row r="16" spans="1:14">
      <c r="A16" s="783"/>
      <c r="B16" s="783"/>
      <c r="C16" s="783"/>
      <c r="D16" s="783"/>
      <c r="E16" s="783"/>
      <c r="F16" s="783"/>
      <c r="G16" s="783"/>
    </row>
    <row r="17" spans="1:21">
      <c r="A17" s="783"/>
      <c r="B17" s="783"/>
      <c r="C17" s="783"/>
      <c r="D17" s="783"/>
      <c r="E17" s="783"/>
      <c r="F17" s="783"/>
      <c r="G17" s="783"/>
      <c r="L17" s="160" t="s">
        <v>237</v>
      </c>
      <c r="M17" s="161"/>
      <c r="N17" s="161"/>
    </row>
    <row r="18" spans="1:21">
      <c r="A18" s="325" t="s">
        <v>452</v>
      </c>
      <c r="L18" s="160" t="s">
        <v>239</v>
      </c>
      <c r="M18" s="160" t="s">
        <v>240</v>
      </c>
      <c r="N18" s="160" t="s">
        <v>67</v>
      </c>
      <c r="O18" s="327" t="s">
        <v>453</v>
      </c>
      <c r="P18" s="786"/>
      <c r="Q18" s="787"/>
      <c r="R18" s="788"/>
      <c r="S18" s="328"/>
      <c r="T18" s="328"/>
      <c r="U18" s="328"/>
    </row>
    <row r="19" spans="1:21" ht="23.25">
      <c r="A19" s="768" t="s">
        <v>454</v>
      </c>
      <c r="B19" s="768"/>
      <c r="C19" s="768"/>
      <c r="D19" s="768"/>
      <c r="E19" s="768"/>
      <c r="F19" s="768"/>
      <c r="G19" s="768"/>
      <c r="L19" s="316" t="s">
        <v>455</v>
      </c>
      <c r="M19" s="316">
        <v>33</v>
      </c>
      <c r="N19" s="160" t="s">
        <v>67</v>
      </c>
      <c r="O19" s="327" t="s">
        <v>456</v>
      </c>
      <c r="P19" s="786" t="s">
        <v>457</v>
      </c>
      <c r="Q19" s="787"/>
      <c r="R19" s="788"/>
      <c r="S19" s="328" t="s">
        <v>458</v>
      </c>
      <c r="T19" s="328" t="s">
        <v>459</v>
      </c>
      <c r="U19" s="328" t="s">
        <v>460</v>
      </c>
    </row>
    <row r="20" spans="1:21">
      <c r="A20" s="768"/>
      <c r="B20" s="768"/>
      <c r="C20" s="768"/>
      <c r="D20" s="768"/>
      <c r="E20" s="768"/>
      <c r="F20" s="768"/>
      <c r="G20" s="768"/>
      <c r="L20" s="316" t="s">
        <v>461</v>
      </c>
      <c r="M20" s="316">
        <v>37</v>
      </c>
      <c r="N20" s="160" t="s">
        <v>67</v>
      </c>
      <c r="O20" s="327" t="s">
        <v>456</v>
      </c>
      <c r="P20" s="776" t="s">
        <v>462</v>
      </c>
      <c r="Q20" s="776"/>
      <c r="R20" s="776"/>
      <c r="S20" s="776"/>
      <c r="T20" s="776" t="s">
        <v>463</v>
      </c>
      <c r="U20" s="776"/>
    </row>
    <row r="21" spans="1:21">
      <c r="A21" s="768" t="s">
        <v>464</v>
      </c>
      <c r="B21" s="768"/>
      <c r="C21" s="768"/>
      <c r="D21" s="768"/>
      <c r="E21" s="768"/>
      <c r="F21" s="768"/>
      <c r="G21" s="768"/>
      <c r="L21" s="316" t="s">
        <v>465</v>
      </c>
      <c r="M21" s="316">
        <v>41</v>
      </c>
      <c r="N21" s="160" t="s">
        <v>67</v>
      </c>
      <c r="O21" s="327" t="s">
        <v>456</v>
      </c>
      <c r="P21" s="776" t="s">
        <v>462</v>
      </c>
      <c r="Q21" s="776"/>
      <c r="R21" s="776"/>
      <c r="S21" s="776"/>
      <c r="T21" s="776" t="s">
        <v>463</v>
      </c>
      <c r="U21" s="776"/>
    </row>
    <row r="22" spans="1:21" ht="17" customHeight="1">
      <c r="A22" s="792" t="e">
        <f>INDEX(基本信息!G:G,MATCH(F5,基本信息!D:D,0))</f>
        <v>#N/A</v>
      </c>
      <c r="B22" s="792"/>
      <c r="C22" s="792"/>
      <c r="D22" s="792"/>
      <c r="E22" s="792"/>
      <c r="F22" s="792"/>
      <c r="G22" s="792"/>
      <c r="L22" s="316" t="s">
        <v>466</v>
      </c>
      <c r="M22" s="316">
        <v>45</v>
      </c>
      <c r="N22" s="160" t="s">
        <v>67</v>
      </c>
      <c r="O22" s="327" t="s">
        <v>456</v>
      </c>
      <c r="P22" s="328" t="s">
        <v>467</v>
      </c>
      <c r="Q22" s="328" t="s">
        <v>468</v>
      </c>
      <c r="R22" s="328" t="s">
        <v>469</v>
      </c>
      <c r="S22" s="328" t="s">
        <v>458</v>
      </c>
      <c r="T22" s="328" t="s">
        <v>470</v>
      </c>
      <c r="U22" s="328" t="s">
        <v>471</v>
      </c>
    </row>
    <row r="23" spans="1:21" ht="14.2" customHeight="1">
      <c r="A23" s="789" t="s">
        <v>472</v>
      </c>
      <c r="B23" s="789"/>
      <c r="C23" s="789"/>
      <c r="D23" s="789"/>
      <c r="E23" s="789"/>
      <c r="F23" s="789"/>
      <c r="G23" s="789"/>
      <c r="L23" s="316" t="s">
        <v>473</v>
      </c>
      <c r="M23" s="316">
        <v>49</v>
      </c>
      <c r="N23" s="160" t="s">
        <v>67</v>
      </c>
      <c r="O23" s="327" t="s">
        <v>456</v>
      </c>
      <c r="P23" s="776" t="s">
        <v>462</v>
      </c>
      <c r="Q23" s="776"/>
      <c r="R23" s="776"/>
      <c r="S23" s="776"/>
      <c r="T23" s="776" t="s">
        <v>463</v>
      </c>
      <c r="U23" s="776"/>
    </row>
    <row r="24" spans="1:21">
      <c r="A24" s="789" t="s">
        <v>474</v>
      </c>
      <c r="B24" s="789"/>
      <c r="C24" s="789"/>
      <c r="D24" s="789"/>
      <c r="E24" s="789"/>
      <c r="F24" s="789"/>
      <c r="G24" s="789"/>
      <c r="L24" s="316" t="s">
        <v>475</v>
      </c>
      <c r="M24" s="316">
        <v>52</v>
      </c>
      <c r="N24" s="160" t="s">
        <v>67</v>
      </c>
      <c r="O24" s="327" t="s">
        <v>456</v>
      </c>
      <c r="P24" s="776" t="s">
        <v>476</v>
      </c>
      <c r="Q24" s="776"/>
      <c r="R24" s="776" t="s">
        <v>477</v>
      </c>
      <c r="S24" s="776"/>
      <c r="T24" s="776" t="s">
        <v>478</v>
      </c>
      <c r="U24" s="776"/>
    </row>
    <row r="25" spans="1:21">
      <c r="A25" s="323" t="s">
        <v>479</v>
      </c>
    </row>
    <row r="26" spans="1:21">
      <c r="A26" s="323"/>
    </row>
    <row r="27" spans="1:21">
      <c r="A27" s="323"/>
    </row>
    <row r="28" spans="1:21">
      <c r="A28" s="323"/>
    </row>
    <row r="29" spans="1:21">
      <c r="A29" s="323"/>
    </row>
    <row r="30" spans="1:21">
      <c r="A30" s="323" t="s">
        <v>480</v>
      </c>
    </row>
    <row r="31" spans="1:21">
      <c r="A31" s="790" t="s">
        <v>481</v>
      </c>
      <c r="B31" s="791"/>
      <c r="C31" s="791"/>
      <c r="D31" s="791"/>
      <c r="E31" s="791"/>
      <c r="F31" s="791"/>
      <c r="G31" s="791"/>
    </row>
    <row r="32" spans="1:21">
      <c r="A32" s="327" t="s">
        <v>456</v>
      </c>
      <c r="B32" s="786" t="s">
        <v>457</v>
      </c>
      <c r="C32" s="787"/>
      <c r="D32" s="788"/>
      <c r="E32" s="328" t="s">
        <v>458</v>
      </c>
      <c r="F32" s="328" t="s">
        <v>459</v>
      </c>
      <c r="G32" s="328" t="s">
        <v>460</v>
      </c>
    </row>
    <row r="33" spans="1:7">
      <c r="A33" s="329"/>
      <c r="B33" s="786"/>
      <c r="C33" s="787"/>
      <c r="D33" s="788"/>
      <c r="E33" s="327"/>
      <c r="F33" s="327"/>
      <c r="G33" s="327"/>
    </row>
    <row r="34" spans="1:7">
      <c r="A34" s="329"/>
      <c r="B34" s="786"/>
      <c r="C34" s="787"/>
      <c r="D34" s="788"/>
      <c r="E34" s="327"/>
      <c r="F34" s="327"/>
      <c r="G34" s="327"/>
    </row>
    <row r="35" spans="1:7">
      <c r="A35" s="330" t="s">
        <v>482</v>
      </c>
    </row>
    <row r="36" spans="1:7">
      <c r="A36" s="327" t="s">
        <v>456</v>
      </c>
      <c r="B36" s="776" t="s">
        <v>462</v>
      </c>
      <c r="C36" s="776"/>
      <c r="D36" s="776"/>
      <c r="E36" s="776"/>
      <c r="F36" s="776" t="s">
        <v>463</v>
      </c>
      <c r="G36" s="776"/>
    </row>
    <row r="37" spans="1:7">
      <c r="A37" s="327"/>
      <c r="B37" s="776"/>
      <c r="C37" s="776"/>
      <c r="D37" s="776"/>
      <c r="E37" s="776"/>
      <c r="F37" s="776"/>
      <c r="G37" s="776"/>
    </row>
    <row r="38" spans="1:7">
      <c r="A38" s="327"/>
      <c r="B38" s="776"/>
      <c r="C38" s="776"/>
      <c r="D38" s="776"/>
      <c r="E38" s="776"/>
      <c r="F38" s="776"/>
      <c r="G38" s="776"/>
    </row>
    <row r="39" spans="1:7">
      <c r="A39" s="330" t="s">
        <v>483</v>
      </c>
    </row>
    <row r="40" spans="1:7">
      <c r="A40" s="327" t="s">
        <v>456</v>
      </c>
      <c r="B40" s="776" t="s">
        <v>462</v>
      </c>
      <c r="C40" s="776"/>
      <c r="D40" s="776"/>
      <c r="E40" s="776"/>
      <c r="F40" s="776" t="s">
        <v>463</v>
      </c>
      <c r="G40" s="776"/>
    </row>
    <row r="41" spans="1:7">
      <c r="A41" s="327"/>
      <c r="B41" s="776"/>
      <c r="C41" s="776"/>
      <c r="D41" s="776"/>
      <c r="E41" s="776"/>
      <c r="F41" s="776"/>
      <c r="G41" s="776"/>
    </row>
    <row r="42" spans="1:7">
      <c r="A42" s="327"/>
      <c r="B42" s="776"/>
      <c r="C42" s="776"/>
      <c r="D42" s="776"/>
      <c r="E42" s="776"/>
      <c r="F42" s="776"/>
      <c r="G42" s="776"/>
    </row>
    <row r="43" spans="1:7" ht="14.2" customHeight="1">
      <c r="A43" s="330" t="s">
        <v>484</v>
      </c>
      <c r="B43" s="330"/>
      <c r="C43" s="330"/>
      <c r="D43" s="330"/>
      <c r="E43" s="330"/>
      <c r="F43" s="330"/>
      <c r="G43" s="330"/>
    </row>
    <row r="44" spans="1:7" ht="23.25">
      <c r="A44" s="327" t="s">
        <v>456</v>
      </c>
      <c r="B44" s="328" t="s">
        <v>467</v>
      </c>
      <c r="C44" s="328" t="s">
        <v>468</v>
      </c>
      <c r="D44" s="328" t="s">
        <v>469</v>
      </c>
      <c r="E44" s="328" t="s">
        <v>458</v>
      </c>
      <c r="F44" s="328" t="s">
        <v>470</v>
      </c>
      <c r="G44" s="328" t="s">
        <v>471</v>
      </c>
    </row>
    <row r="45" spans="1:7">
      <c r="A45" s="327"/>
      <c r="B45" s="327"/>
      <c r="C45" s="327"/>
      <c r="D45" s="327"/>
      <c r="E45" s="327"/>
      <c r="F45" s="327"/>
      <c r="G45" s="327"/>
    </row>
    <row r="46" spans="1:7">
      <c r="A46" s="327"/>
      <c r="B46" s="327"/>
      <c r="C46" s="327"/>
      <c r="D46" s="327"/>
      <c r="E46" s="327"/>
      <c r="F46" s="327"/>
      <c r="G46" s="327"/>
    </row>
    <row r="47" spans="1:7">
      <c r="A47" s="330" t="s">
        <v>485</v>
      </c>
    </row>
    <row r="48" spans="1:7">
      <c r="A48" s="327" t="s">
        <v>456</v>
      </c>
      <c r="B48" s="776" t="s">
        <v>462</v>
      </c>
      <c r="C48" s="776"/>
      <c r="D48" s="776"/>
      <c r="E48" s="776"/>
      <c r="F48" s="776" t="s">
        <v>463</v>
      </c>
      <c r="G48" s="776"/>
    </row>
    <row r="49" spans="1:7">
      <c r="A49" s="327"/>
      <c r="B49" s="776"/>
      <c r="C49" s="776"/>
      <c r="D49" s="776"/>
      <c r="E49" s="776"/>
      <c r="F49" s="776"/>
      <c r="G49" s="776"/>
    </row>
    <row r="50" spans="1:7">
      <c r="A50" s="330" t="s">
        <v>486</v>
      </c>
    </row>
    <row r="51" spans="1:7">
      <c r="A51" s="327" t="s">
        <v>456</v>
      </c>
      <c r="B51" s="776" t="s">
        <v>476</v>
      </c>
      <c r="C51" s="776"/>
      <c r="D51" s="776" t="s">
        <v>477</v>
      </c>
      <c r="E51" s="776"/>
      <c r="F51" s="776" t="s">
        <v>478</v>
      </c>
      <c r="G51" s="776"/>
    </row>
    <row r="52" spans="1:7">
      <c r="A52" s="327"/>
      <c r="B52" s="776"/>
      <c r="C52" s="776"/>
      <c r="D52" s="776"/>
      <c r="E52" s="776"/>
      <c r="F52" s="776"/>
      <c r="G52" s="776"/>
    </row>
    <row r="53" spans="1:7">
      <c r="A53" s="784" t="s">
        <v>487</v>
      </c>
      <c r="B53" s="784"/>
      <c r="C53" s="784"/>
      <c r="D53" s="784"/>
      <c r="E53" s="784"/>
      <c r="F53" s="784"/>
      <c r="G53" s="784"/>
    </row>
    <row r="54" spans="1:7">
      <c r="A54" s="785"/>
      <c r="B54" s="785"/>
      <c r="C54" s="785"/>
      <c r="D54" s="785"/>
      <c r="E54" s="785"/>
      <c r="F54" s="785"/>
      <c r="G54" s="785"/>
    </row>
    <row r="55" spans="1:7">
      <c r="A55" s="327" t="s">
        <v>456</v>
      </c>
      <c r="B55" s="776" t="s">
        <v>462</v>
      </c>
      <c r="C55" s="776"/>
      <c r="D55" s="776"/>
      <c r="E55" s="776"/>
      <c r="F55" s="776" t="s">
        <v>463</v>
      </c>
      <c r="G55" s="776"/>
    </row>
    <row r="56" spans="1:7">
      <c r="A56" s="327"/>
      <c r="B56" s="776"/>
      <c r="C56" s="776"/>
      <c r="D56" s="776"/>
      <c r="E56" s="776"/>
      <c r="F56" s="776"/>
      <c r="G56" s="776"/>
    </row>
    <row r="57" spans="1:7">
      <c r="A57" s="331" t="s">
        <v>488</v>
      </c>
    </row>
    <row r="58" spans="1:7">
      <c r="A58" s="327"/>
      <c r="B58" s="786" t="s">
        <v>489</v>
      </c>
      <c r="C58" s="788"/>
      <c r="D58" s="786" t="s">
        <v>458</v>
      </c>
      <c r="E58" s="788"/>
      <c r="F58" s="328" t="s">
        <v>490</v>
      </c>
      <c r="G58" s="328" t="s">
        <v>491</v>
      </c>
    </row>
    <row r="59" spans="1:7" ht="23.25">
      <c r="A59" s="328" t="s">
        <v>492</v>
      </c>
      <c r="B59" s="786"/>
      <c r="C59" s="788"/>
      <c r="D59" s="786"/>
      <c r="E59" s="788"/>
      <c r="F59" s="328"/>
      <c r="G59" s="328"/>
    </row>
    <row r="60" spans="1:7" ht="23.25">
      <c r="A60" s="329" t="s">
        <v>493</v>
      </c>
      <c r="B60" s="786"/>
      <c r="C60" s="788"/>
      <c r="D60" s="786"/>
      <c r="E60" s="788"/>
      <c r="F60" s="328"/>
      <c r="G60" s="328"/>
    </row>
    <row r="61" spans="1:7" ht="23.25">
      <c r="A61" s="328" t="s">
        <v>494</v>
      </c>
      <c r="B61" s="786"/>
      <c r="C61" s="788"/>
      <c r="D61" s="786"/>
      <c r="E61" s="788"/>
      <c r="F61" s="328"/>
      <c r="G61" s="328"/>
    </row>
    <row r="62" spans="1:7">
      <c r="A62" t="s">
        <v>495</v>
      </c>
    </row>
    <row r="63" spans="1:7">
      <c r="A63" s="327"/>
      <c r="B63" s="776" t="s">
        <v>489</v>
      </c>
      <c r="C63" s="776"/>
      <c r="D63" s="776"/>
      <c r="E63" s="776"/>
      <c r="F63" s="776" t="s">
        <v>463</v>
      </c>
      <c r="G63" s="776"/>
    </row>
    <row r="64" spans="1:7">
      <c r="A64" s="327" t="s">
        <v>496</v>
      </c>
      <c r="B64" s="776"/>
      <c r="C64" s="776"/>
      <c r="D64" s="776"/>
      <c r="E64" s="776"/>
      <c r="F64" s="776"/>
      <c r="G64" s="776"/>
    </row>
    <row r="65" spans="1:7">
      <c r="A65" t="s">
        <v>497</v>
      </c>
    </row>
    <row r="66" spans="1:7" ht="23.55" customHeight="1">
      <c r="A66" s="327"/>
      <c r="B66" s="776" t="s">
        <v>489</v>
      </c>
      <c r="C66" s="776"/>
      <c r="D66" s="776" t="s">
        <v>498</v>
      </c>
      <c r="E66" s="776"/>
      <c r="F66" s="776" t="s">
        <v>499</v>
      </c>
      <c r="G66" s="776"/>
    </row>
    <row r="67" spans="1:7">
      <c r="A67" s="332" t="s">
        <v>500</v>
      </c>
      <c r="B67" s="328"/>
      <c r="C67" s="328"/>
      <c r="D67" s="776"/>
      <c r="E67" s="776"/>
      <c r="F67" s="776"/>
      <c r="G67" s="776"/>
    </row>
    <row r="68" spans="1:7">
      <c r="A68" s="327"/>
      <c r="B68" s="776" t="s">
        <v>489</v>
      </c>
      <c r="C68" s="776" t="s">
        <v>458</v>
      </c>
      <c r="D68" s="776"/>
      <c r="E68" s="776"/>
      <c r="F68" s="776" t="s">
        <v>458</v>
      </c>
      <c r="G68" s="776"/>
    </row>
    <row r="69" spans="1:7">
      <c r="A69" s="327"/>
      <c r="B69" s="776"/>
      <c r="C69" s="776"/>
      <c r="D69" s="776"/>
      <c r="E69" s="776"/>
      <c r="F69" s="776"/>
      <c r="G69" s="776"/>
    </row>
    <row r="70" spans="1:7">
      <c r="A70" t="s">
        <v>501</v>
      </c>
    </row>
    <row r="71" spans="1:7">
      <c r="A71" s="327"/>
      <c r="B71" s="776" t="s">
        <v>489</v>
      </c>
      <c r="C71" s="776" t="s">
        <v>458</v>
      </c>
      <c r="D71" s="776"/>
      <c r="E71" s="776"/>
      <c r="F71" s="776" t="s">
        <v>458</v>
      </c>
      <c r="G71" s="776"/>
    </row>
    <row r="72" spans="1:7" ht="27.75">
      <c r="A72" s="327" t="s">
        <v>502</v>
      </c>
      <c r="B72" s="776"/>
      <c r="C72" s="776"/>
      <c r="D72" s="776"/>
      <c r="E72" s="776"/>
      <c r="F72" s="776"/>
      <c r="G72" s="776"/>
    </row>
    <row r="73" spans="1:7">
      <c r="A73" s="327" t="s">
        <v>503</v>
      </c>
      <c r="B73" s="776"/>
      <c r="C73" s="776"/>
      <c r="D73" s="776"/>
      <c r="E73" s="776"/>
      <c r="F73" s="776"/>
      <c r="G73" s="776"/>
    </row>
    <row r="74" spans="1:7">
      <c r="A74" t="s">
        <v>504</v>
      </c>
    </row>
    <row r="75" spans="1:7">
      <c r="A75" s="327"/>
      <c r="B75" s="776" t="s">
        <v>468</v>
      </c>
      <c r="C75" s="776"/>
      <c r="D75" s="776" t="s">
        <v>505</v>
      </c>
      <c r="E75" s="776"/>
      <c r="F75" s="776" t="s">
        <v>506</v>
      </c>
      <c r="G75" s="776"/>
    </row>
    <row r="76" spans="1:7">
      <c r="A76" s="327"/>
      <c r="B76" s="776"/>
      <c r="C76" s="776"/>
      <c r="D76" s="776"/>
      <c r="E76" s="776"/>
      <c r="F76" s="776"/>
      <c r="G76" s="776"/>
    </row>
    <row r="77" spans="1:7">
      <c r="A77" t="s">
        <v>507</v>
      </c>
    </row>
    <row r="78" spans="1:7">
      <c r="A78" s="333" t="s">
        <v>508</v>
      </c>
      <c r="B78" s="776" t="s">
        <v>509</v>
      </c>
      <c r="C78" s="776"/>
      <c r="D78" s="776" t="s">
        <v>468</v>
      </c>
      <c r="E78" s="776"/>
      <c r="F78" s="776" t="s">
        <v>510</v>
      </c>
      <c r="G78" s="776"/>
    </row>
    <row r="79" spans="1:7">
      <c r="A79" s="327" t="s">
        <v>511</v>
      </c>
      <c r="B79" s="776"/>
      <c r="C79" s="776"/>
      <c r="D79" s="776"/>
      <c r="E79" s="776"/>
      <c r="F79" s="776"/>
      <c r="G79" s="776"/>
    </row>
    <row r="80" spans="1:7" ht="55.5">
      <c r="A80" s="327" t="s">
        <v>512</v>
      </c>
      <c r="B80" s="776"/>
      <c r="C80" s="776"/>
      <c r="D80" s="776"/>
      <c r="E80" s="776"/>
      <c r="F80" s="776"/>
      <c r="G80" s="776"/>
    </row>
    <row r="81" spans="1:7" ht="23.25">
      <c r="A81" s="334" t="s">
        <v>513</v>
      </c>
      <c r="B81" s="776"/>
      <c r="C81" s="776"/>
      <c r="D81" s="776"/>
      <c r="E81" s="776"/>
      <c r="F81" s="776"/>
      <c r="G81" s="776"/>
    </row>
    <row r="82" spans="1:7">
      <c r="A82" t="s">
        <v>514</v>
      </c>
    </row>
    <row r="83" spans="1:7" ht="23.2" customHeight="1">
      <c r="A83" s="327"/>
      <c r="B83" s="776" t="s">
        <v>515</v>
      </c>
      <c r="C83" s="776"/>
      <c r="D83" s="776" t="s">
        <v>510</v>
      </c>
      <c r="E83" s="776"/>
      <c r="F83" s="328" t="s">
        <v>516</v>
      </c>
      <c r="G83" s="328" t="s">
        <v>491</v>
      </c>
    </row>
    <row r="84" spans="1:7">
      <c r="A84" s="335" t="s">
        <v>517</v>
      </c>
      <c r="B84" s="776"/>
      <c r="C84" s="776"/>
      <c r="D84" s="776"/>
      <c r="E84" s="776"/>
      <c r="F84" s="328"/>
      <c r="G84" s="328"/>
    </row>
    <row r="85" spans="1:7">
      <c r="A85" s="335" t="s">
        <v>518</v>
      </c>
      <c r="B85" s="776"/>
      <c r="C85" s="776"/>
      <c r="D85" s="776"/>
      <c r="E85" s="776"/>
      <c r="F85" s="328"/>
      <c r="G85" s="328"/>
    </row>
    <row r="86" spans="1:7" ht="35.25">
      <c r="A86" s="333" t="s">
        <v>519</v>
      </c>
      <c r="B86" s="776"/>
      <c r="C86" s="776"/>
      <c r="D86" s="776"/>
      <c r="E86" s="776"/>
      <c r="F86" s="328"/>
      <c r="G86" s="328"/>
    </row>
    <row r="87" spans="1:7">
      <c r="A87" t="s">
        <v>520</v>
      </c>
    </row>
    <row r="88" spans="1:7">
      <c r="A88" s="327"/>
      <c r="B88" s="786"/>
      <c r="C88" s="787"/>
      <c r="D88" s="787"/>
      <c r="E88" s="787"/>
      <c r="F88" s="787"/>
      <c r="G88" s="788"/>
    </row>
    <row r="89" spans="1:7">
      <c r="A89" s="336" t="s">
        <v>521</v>
      </c>
    </row>
    <row r="90" spans="1:7">
      <c r="A90" s="327" t="s">
        <v>522</v>
      </c>
      <c r="B90" s="776"/>
      <c r="C90" s="776"/>
      <c r="D90" s="776"/>
      <c r="E90" s="776"/>
      <c r="F90" s="776"/>
      <c r="G90" s="776"/>
    </row>
    <row r="91" spans="1:7">
      <c r="A91" s="327" t="s">
        <v>523</v>
      </c>
      <c r="B91" s="776"/>
      <c r="C91" s="776"/>
      <c r="D91" s="776"/>
      <c r="E91" s="776"/>
      <c r="F91" s="776"/>
      <c r="G91" s="776"/>
    </row>
    <row r="92" spans="1:7">
      <c r="B92" s="326"/>
      <c r="C92" s="326"/>
      <c r="D92" s="326"/>
      <c r="E92" s="326"/>
      <c r="F92" s="326"/>
      <c r="G92" s="326"/>
    </row>
    <row r="93" spans="1:7">
      <c r="A93" s="777" t="s">
        <v>524</v>
      </c>
      <c r="B93" s="778"/>
      <c r="C93" s="778"/>
      <c r="D93" s="778"/>
      <c r="E93" s="778"/>
      <c r="F93" s="778"/>
      <c r="G93" s="779"/>
    </row>
    <row r="94" spans="1:7">
      <c r="A94" s="780" t="s">
        <v>525</v>
      </c>
      <c r="B94" s="781"/>
      <c r="C94" s="781"/>
      <c r="D94" s="781"/>
      <c r="E94" s="781"/>
      <c r="F94" s="781"/>
      <c r="G94" s="782"/>
    </row>
    <row r="95" spans="1:7" ht="14.2" customHeight="1">
      <c r="A95" s="767" t="s">
        <v>526</v>
      </c>
      <c r="B95" s="768"/>
      <c r="C95" s="768"/>
      <c r="D95" s="768"/>
      <c r="E95" s="768"/>
      <c r="F95" s="768"/>
      <c r="G95" s="769"/>
    </row>
    <row r="96" spans="1:7" ht="14.2" customHeight="1">
      <c r="A96" s="767"/>
      <c r="B96" s="768"/>
      <c r="C96" s="768"/>
      <c r="D96" s="768"/>
      <c r="E96" s="768"/>
      <c r="F96" s="768"/>
      <c r="G96" s="769"/>
    </row>
    <row r="97" spans="1:7">
      <c r="A97" s="337"/>
      <c r="B97" s="338"/>
      <c r="C97" s="338"/>
      <c r="D97" s="338"/>
      <c r="E97" s="338"/>
      <c r="F97" s="338"/>
      <c r="G97" s="339"/>
    </row>
    <row r="98" spans="1:7">
      <c r="A98" s="337"/>
      <c r="B98" s="338"/>
      <c r="C98" s="338"/>
      <c r="D98" s="338"/>
      <c r="E98" s="338"/>
      <c r="F98" s="338"/>
      <c r="G98" s="339"/>
    </row>
    <row r="99" spans="1:7">
      <c r="A99" s="337"/>
      <c r="B99" s="338"/>
      <c r="C99" s="338"/>
      <c r="D99" s="338"/>
      <c r="E99" s="338"/>
      <c r="F99" s="338"/>
      <c r="G99" s="339"/>
    </row>
    <row r="100" spans="1:7">
      <c r="A100" s="337"/>
      <c r="B100" s="338"/>
      <c r="C100" s="338"/>
      <c r="D100" s="338"/>
      <c r="E100" s="338"/>
      <c r="F100" s="338"/>
      <c r="G100" s="339"/>
    </row>
    <row r="101" spans="1:7">
      <c r="A101" s="337"/>
      <c r="B101" s="338"/>
      <c r="C101" s="338"/>
      <c r="D101" s="338"/>
      <c r="E101" s="338"/>
      <c r="F101" s="338"/>
      <c r="G101" s="339"/>
    </row>
    <row r="102" spans="1:7">
      <c r="A102" s="337"/>
      <c r="B102" s="338"/>
      <c r="C102" s="338"/>
      <c r="D102" s="338"/>
      <c r="E102" s="338"/>
      <c r="F102" s="338"/>
      <c r="G102" s="339"/>
    </row>
    <row r="103" spans="1:7">
      <c r="A103" s="337"/>
      <c r="B103" s="338"/>
      <c r="C103" s="338"/>
      <c r="D103" s="338"/>
      <c r="E103" s="338"/>
      <c r="F103" s="338"/>
      <c r="G103" s="339"/>
    </row>
    <row r="104" spans="1:7">
      <c r="A104" s="337"/>
      <c r="B104" s="338"/>
      <c r="C104" s="338"/>
      <c r="D104" s="338"/>
      <c r="E104" s="338"/>
      <c r="F104" s="338"/>
      <c r="G104" s="339"/>
    </row>
    <row r="105" spans="1:7">
      <c r="A105" s="337"/>
      <c r="B105" s="338"/>
      <c r="C105" s="338"/>
      <c r="D105" s="338"/>
      <c r="E105" s="338"/>
      <c r="F105" s="338"/>
      <c r="G105" s="339"/>
    </row>
    <row r="106" spans="1:7">
      <c r="A106" s="337"/>
      <c r="B106" s="338"/>
      <c r="C106" s="338"/>
      <c r="D106" s="338"/>
      <c r="E106" s="338"/>
      <c r="F106" s="338"/>
      <c r="G106" s="339"/>
    </row>
    <row r="107" spans="1:7">
      <c r="A107" s="337"/>
      <c r="B107" s="338"/>
      <c r="C107" s="338"/>
      <c r="D107" s="338"/>
      <c r="E107" s="338"/>
      <c r="F107" s="338"/>
      <c r="G107" s="339"/>
    </row>
    <row r="108" spans="1:7" ht="14.2" customHeight="1">
      <c r="A108" s="770" t="s">
        <v>527</v>
      </c>
      <c r="B108" s="771"/>
      <c r="C108" s="771"/>
      <c r="D108" s="771"/>
      <c r="E108" s="771"/>
      <c r="F108" s="771"/>
      <c r="G108" s="772"/>
    </row>
    <row r="109" spans="1:7">
      <c r="A109" s="773"/>
      <c r="B109" s="774"/>
      <c r="C109" s="774"/>
      <c r="D109" s="774"/>
      <c r="E109" s="774"/>
      <c r="F109" s="774"/>
      <c r="G109" s="775"/>
    </row>
  </sheetData>
  <mergeCells count="110">
    <mergeCell ref="P18:R18"/>
    <mergeCell ref="P19:R19"/>
    <mergeCell ref="P20:S20"/>
    <mergeCell ref="T20:U20"/>
    <mergeCell ref="A21:G21"/>
    <mergeCell ref="P21:S21"/>
    <mergeCell ref="T21:U21"/>
    <mergeCell ref="A22:G22"/>
    <mergeCell ref="A23:G23"/>
    <mergeCell ref="P23:S23"/>
    <mergeCell ref="T23:U23"/>
    <mergeCell ref="A24:G24"/>
    <mergeCell ref="P24:Q24"/>
    <mergeCell ref="R24:S24"/>
    <mergeCell ref="T24:U24"/>
    <mergeCell ref="A31:G31"/>
    <mergeCell ref="B32:D32"/>
    <mergeCell ref="B33:D33"/>
    <mergeCell ref="B34:D34"/>
    <mergeCell ref="B36:E36"/>
    <mergeCell ref="F36:G36"/>
    <mergeCell ref="B37:E37"/>
    <mergeCell ref="F37:G37"/>
    <mergeCell ref="B38:E38"/>
    <mergeCell ref="F38:G38"/>
    <mergeCell ref="B40:E40"/>
    <mergeCell ref="F40:G40"/>
    <mergeCell ref="B41:E41"/>
    <mergeCell ref="F41:G41"/>
    <mergeCell ref="B42:E42"/>
    <mergeCell ref="F42:G42"/>
    <mergeCell ref="B48:E48"/>
    <mergeCell ref="F48:G48"/>
    <mergeCell ref="B49:E49"/>
    <mergeCell ref="F49:G49"/>
    <mergeCell ref="B51:C51"/>
    <mergeCell ref="D51:E51"/>
    <mergeCell ref="F51:G51"/>
    <mergeCell ref="B52:C52"/>
    <mergeCell ref="D52:E52"/>
    <mergeCell ref="F52:G52"/>
    <mergeCell ref="B55:E55"/>
    <mergeCell ref="F55:G55"/>
    <mergeCell ref="B56:E56"/>
    <mergeCell ref="F56:G56"/>
    <mergeCell ref="B58:C58"/>
    <mergeCell ref="D58:E58"/>
    <mergeCell ref="B59:C59"/>
    <mergeCell ref="D59:E59"/>
    <mergeCell ref="B60:C60"/>
    <mergeCell ref="D60:E60"/>
    <mergeCell ref="B72:E72"/>
    <mergeCell ref="F72:G72"/>
    <mergeCell ref="B61:C61"/>
    <mergeCell ref="D61:E61"/>
    <mergeCell ref="B63:E63"/>
    <mergeCell ref="F63:G63"/>
    <mergeCell ref="B64:E64"/>
    <mergeCell ref="F64:G64"/>
    <mergeCell ref="B66:C66"/>
    <mergeCell ref="D66:E66"/>
    <mergeCell ref="F66:G66"/>
    <mergeCell ref="A11:G12"/>
    <mergeCell ref="A53:G54"/>
    <mergeCell ref="B83:C83"/>
    <mergeCell ref="D83:E83"/>
    <mergeCell ref="B84:C84"/>
    <mergeCell ref="D84:E84"/>
    <mergeCell ref="B85:C85"/>
    <mergeCell ref="D85:E85"/>
    <mergeCell ref="B86:C86"/>
    <mergeCell ref="D86:E86"/>
    <mergeCell ref="B79:C79"/>
    <mergeCell ref="D79:E79"/>
    <mergeCell ref="F79:G79"/>
    <mergeCell ref="B80:C80"/>
    <mergeCell ref="D80:E80"/>
    <mergeCell ref="F80:G80"/>
    <mergeCell ref="B81:C81"/>
    <mergeCell ref="D81:E81"/>
    <mergeCell ref="F81:G81"/>
    <mergeCell ref="B73:E73"/>
    <mergeCell ref="F73:G73"/>
    <mergeCell ref="B75:C75"/>
    <mergeCell ref="D75:E75"/>
    <mergeCell ref="F75:G75"/>
    <mergeCell ref="A95:G96"/>
    <mergeCell ref="A108:G109"/>
    <mergeCell ref="B90:G90"/>
    <mergeCell ref="B91:G91"/>
    <mergeCell ref="A93:G93"/>
    <mergeCell ref="A94:G94"/>
    <mergeCell ref="A13:G14"/>
    <mergeCell ref="A15:G17"/>
    <mergeCell ref="A19:G20"/>
    <mergeCell ref="B88:G88"/>
    <mergeCell ref="B76:C76"/>
    <mergeCell ref="D76:E76"/>
    <mergeCell ref="F76:G76"/>
    <mergeCell ref="B78:C78"/>
    <mergeCell ref="D78:E78"/>
    <mergeCell ref="F78:G78"/>
    <mergeCell ref="D67:E67"/>
    <mergeCell ref="F67:G67"/>
    <mergeCell ref="B68:E68"/>
    <mergeCell ref="F68:G68"/>
    <mergeCell ref="B69:E69"/>
    <mergeCell ref="F69:G69"/>
    <mergeCell ref="B71:E71"/>
    <mergeCell ref="F71:G71"/>
  </mergeCells>
  <phoneticPr fontId="98" type="noConversion"/>
  <printOptions horizontalCentered="1"/>
  <pageMargins left="0.70866141732283505" right="0.70866141732283505" top="0.74803149606299202" bottom="0.74803149606299202" header="0.31496062992126" footer="0.31496062992126"/>
  <pageSetup paperSize="9" scale="88" orientation="portrait" r:id="rId1"/>
  <rowBreaks count="1" manualBreakCount="1">
    <brk id="56" max="6"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7"/>
  <dimension ref="A1:R37"/>
  <sheetViews>
    <sheetView view="pageBreakPreview" topLeftCell="A7" zoomScale="60" zoomScaleNormal="100" workbookViewId="0">
      <selection activeCell="E22" sqref="E22:F22"/>
    </sheetView>
  </sheetViews>
  <sheetFormatPr defaultColWidth="8.265625" defaultRowHeight="15"/>
  <cols>
    <col min="1" max="1" width="23.73046875" style="277" customWidth="1"/>
    <col min="2" max="4" width="10.796875" style="277" customWidth="1"/>
    <col min="5" max="6" width="18" style="277" customWidth="1"/>
    <col min="7" max="12" width="8.265625" style="277"/>
    <col min="13" max="18" width="19.265625" style="277" customWidth="1"/>
    <col min="19" max="16384" width="8.265625" style="277"/>
  </cols>
  <sheetData>
    <row r="1" spans="1:12" ht="57.5" customHeight="1">
      <c r="A1" s="278"/>
      <c r="C1" s="279"/>
      <c r="D1" s="279"/>
      <c r="E1" s="279"/>
      <c r="F1" s="280"/>
    </row>
    <row r="2" spans="1:12" s="65" customFormat="1" ht="19.899999999999999">
      <c r="A2" s="281" t="s">
        <v>528</v>
      </c>
      <c r="B2" s="282"/>
      <c r="C2" s="283"/>
      <c r="D2" s="283"/>
      <c r="E2" s="283"/>
      <c r="F2" s="283"/>
    </row>
    <row r="3" spans="1:12" s="65" customFormat="1" ht="15.4">
      <c r="A3" s="284"/>
      <c r="B3" s="284"/>
      <c r="C3" s="284"/>
      <c r="D3" s="284"/>
      <c r="E3" s="228" t="s">
        <v>529</v>
      </c>
      <c r="F3" s="285" t="e">
        <f>INDEX(基本信息!E:E,MATCH(F4,基本信息!D:D,0))</f>
        <v>#N/A</v>
      </c>
      <c r="K3" s="44" t="s">
        <v>51</v>
      </c>
      <c r="L3" s="45" t="s">
        <v>54</v>
      </c>
    </row>
    <row r="4" spans="1:12" s="65" customFormat="1" ht="15.4">
      <c r="A4" s="286" t="e">
        <f>"To："&amp;INDEX(基本信息!C:C,MATCH(F4,基本信息!D:D,0))</f>
        <v>#N/A</v>
      </c>
      <c r="B4" s="286"/>
      <c r="C4" s="286"/>
      <c r="E4" s="228" t="s">
        <v>530</v>
      </c>
      <c r="F4" s="285" t="s">
        <v>190</v>
      </c>
      <c r="K4" s="44" t="s">
        <v>53</v>
      </c>
      <c r="L4" s="45" t="s">
        <v>194</v>
      </c>
    </row>
    <row r="5" spans="1:12" s="65" customFormat="1" ht="15.4">
      <c r="A5" s="606" t="s">
        <v>531</v>
      </c>
      <c r="B5" s="287"/>
      <c r="K5" s="44" t="s">
        <v>55</v>
      </c>
      <c r="L5" s="45" t="s">
        <v>389</v>
      </c>
    </row>
    <row r="6" spans="1:12" s="65" customFormat="1" ht="15.4">
      <c r="A6" s="793" t="s">
        <v>532</v>
      </c>
      <c r="B6" s="793"/>
      <c r="C6" s="793"/>
      <c r="D6" s="793"/>
      <c r="E6" s="793"/>
      <c r="F6" s="793"/>
      <c r="K6" s="44" t="s">
        <v>57</v>
      </c>
      <c r="L6" s="45" t="s">
        <v>533</v>
      </c>
    </row>
    <row r="7" spans="1:12" s="65" customFormat="1" ht="15.4">
      <c r="A7" s="793"/>
      <c r="B7" s="793"/>
      <c r="C7" s="793"/>
      <c r="D7" s="793"/>
      <c r="E7" s="793"/>
      <c r="F7" s="793"/>
      <c r="K7" s="44" t="s">
        <v>59</v>
      </c>
      <c r="L7" s="46" t="s">
        <v>18</v>
      </c>
    </row>
    <row r="8" spans="1:12" s="65" customFormat="1" ht="15.4">
      <c r="A8" s="793"/>
      <c r="B8" s="793"/>
      <c r="C8" s="793"/>
      <c r="D8" s="793"/>
      <c r="E8" s="793"/>
      <c r="F8" s="793"/>
      <c r="K8" s="109" t="s">
        <v>60</v>
      </c>
      <c r="L8" s="113" t="s">
        <v>391</v>
      </c>
    </row>
    <row r="9" spans="1:12" s="65" customFormat="1" ht="15.4">
      <c r="A9" s="793"/>
      <c r="B9" s="793"/>
      <c r="C9" s="793"/>
      <c r="D9" s="793"/>
      <c r="E9" s="793"/>
      <c r="F9" s="793"/>
      <c r="K9" s="109" t="s">
        <v>62</v>
      </c>
      <c r="L9" s="113">
        <v>60</v>
      </c>
    </row>
    <row r="10" spans="1:12" s="65" customFormat="1" ht="15.4">
      <c r="A10" s="793"/>
      <c r="B10" s="793"/>
      <c r="C10" s="793"/>
      <c r="D10" s="793"/>
      <c r="E10" s="793"/>
      <c r="F10" s="793"/>
      <c r="K10" s="109"/>
      <c r="L10" s="113"/>
    </row>
    <row r="11" spans="1:12" s="65" customFormat="1" ht="15.4">
      <c r="A11" s="793"/>
      <c r="B11" s="793"/>
      <c r="C11" s="793"/>
      <c r="D11" s="793"/>
      <c r="E11" s="793"/>
      <c r="F11" s="793"/>
      <c r="K11" s="44"/>
      <c r="L11" s="45"/>
    </row>
    <row r="12" spans="1:12" s="65" customFormat="1" ht="15.4">
      <c r="A12" s="793"/>
      <c r="B12" s="793"/>
      <c r="C12" s="793"/>
      <c r="D12" s="793"/>
      <c r="E12" s="793"/>
      <c r="F12" s="793"/>
      <c r="K12" s="44"/>
      <c r="L12" s="45"/>
    </row>
    <row r="13" spans="1:12" s="65" customFormat="1" ht="15.4">
      <c r="A13" s="793"/>
      <c r="B13" s="793"/>
      <c r="C13" s="793"/>
      <c r="D13" s="793"/>
      <c r="E13" s="793"/>
      <c r="F13" s="793"/>
      <c r="K13" s="44"/>
      <c r="L13" s="45"/>
    </row>
    <row r="14" spans="1:12" s="65" customFormat="1" ht="15.4">
      <c r="A14" s="793"/>
      <c r="B14" s="793"/>
      <c r="C14" s="793"/>
      <c r="D14" s="793"/>
      <c r="E14" s="793"/>
      <c r="F14" s="793"/>
      <c r="K14" s="44"/>
      <c r="L14" s="45"/>
    </row>
    <row r="15" spans="1:12" s="65" customFormat="1" ht="15.4">
      <c r="A15" s="287" t="s">
        <v>534</v>
      </c>
      <c r="B15" s="287"/>
      <c r="C15" s="288"/>
      <c r="D15" s="288"/>
      <c r="E15" s="288"/>
      <c r="F15" s="289"/>
      <c r="K15" s="44"/>
      <c r="L15" s="46"/>
    </row>
    <row r="16" spans="1:12" s="65" customFormat="1" ht="15.4">
      <c r="A16" s="290" t="s">
        <v>535</v>
      </c>
      <c r="B16" s="290" t="s">
        <v>456</v>
      </c>
      <c r="C16" s="801" t="s">
        <v>536</v>
      </c>
      <c r="D16" s="801"/>
      <c r="E16" s="290" t="s">
        <v>537</v>
      </c>
      <c r="F16" s="290" t="s">
        <v>538</v>
      </c>
    </row>
    <row r="17" spans="1:18" s="65" customFormat="1" ht="15.4">
      <c r="A17" s="291"/>
      <c r="B17" s="292"/>
      <c r="C17" s="804"/>
      <c r="D17" s="804"/>
      <c r="E17" s="293"/>
      <c r="F17" s="294"/>
    </row>
    <row r="18" spans="1:18" s="65" customFormat="1" ht="15.4">
      <c r="A18" s="291"/>
      <c r="B18" s="292"/>
      <c r="C18" s="804"/>
      <c r="D18" s="804"/>
      <c r="E18" s="293"/>
      <c r="F18" s="294"/>
      <c r="J18" s="50" t="s">
        <v>65</v>
      </c>
      <c r="K18" s="50" t="s">
        <v>66</v>
      </c>
      <c r="L18" s="272" t="s">
        <v>67</v>
      </c>
      <c r="M18" s="805" t="s">
        <v>68</v>
      </c>
      <c r="N18" s="806"/>
      <c r="O18" s="806"/>
      <c r="P18" s="806"/>
      <c r="Q18" s="806"/>
      <c r="R18" s="807"/>
    </row>
    <row r="19" spans="1:18" s="65" customFormat="1" ht="15.4">
      <c r="A19" s="295" t="s">
        <v>539</v>
      </c>
      <c r="B19" s="296"/>
      <c r="C19" s="794"/>
      <c r="D19" s="794"/>
      <c r="E19" s="297"/>
      <c r="F19" s="290"/>
      <c r="J19" s="213" t="s">
        <v>205</v>
      </c>
      <c r="K19" s="213">
        <v>17</v>
      </c>
      <c r="L19" s="274" t="s">
        <v>67</v>
      </c>
      <c r="M19" s="315" t="s">
        <v>535</v>
      </c>
      <c r="N19" s="315" t="s">
        <v>456</v>
      </c>
      <c r="O19" s="799" t="s">
        <v>536</v>
      </c>
      <c r="P19" s="799"/>
      <c r="Q19" s="315" t="s">
        <v>537</v>
      </c>
      <c r="R19" s="315" t="s">
        <v>538</v>
      </c>
    </row>
    <row r="20" spans="1:18" s="65" customFormat="1" ht="15.5" customHeight="1">
      <c r="A20" s="298"/>
      <c r="B20" s="298"/>
      <c r="C20" s="299"/>
      <c r="D20" s="299"/>
      <c r="E20" s="300"/>
      <c r="F20" s="289"/>
      <c r="J20" s="213" t="s">
        <v>210</v>
      </c>
      <c r="K20" s="213">
        <v>23</v>
      </c>
      <c r="L20" s="274" t="s">
        <v>67</v>
      </c>
      <c r="M20" s="315" t="s">
        <v>540</v>
      </c>
      <c r="N20" s="798" t="s">
        <v>541</v>
      </c>
      <c r="O20" s="798"/>
      <c r="P20" s="315" t="s">
        <v>456</v>
      </c>
      <c r="Q20" s="799" t="s">
        <v>542</v>
      </c>
      <c r="R20" s="799"/>
    </row>
    <row r="21" spans="1:18" s="65" customFormat="1" ht="15.4">
      <c r="A21" s="287" t="s">
        <v>543</v>
      </c>
      <c r="B21" s="287"/>
      <c r="C21" s="301"/>
      <c r="D21" s="301"/>
      <c r="E21" s="301"/>
      <c r="F21" s="289"/>
    </row>
    <row r="22" spans="1:18" s="65" customFormat="1" ht="32" customHeight="1">
      <c r="A22" s="290" t="s">
        <v>540</v>
      </c>
      <c r="B22" s="800" t="s">
        <v>541</v>
      </c>
      <c r="C22" s="800"/>
      <c r="D22" s="290" t="s">
        <v>456</v>
      </c>
      <c r="E22" s="801" t="s">
        <v>542</v>
      </c>
      <c r="F22" s="801"/>
    </row>
    <row r="23" spans="1:18" s="65" customFormat="1" ht="15.75">
      <c r="A23" s="302"/>
      <c r="B23" s="802"/>
      <c r="C23" s="802"/>
      <c r="D23" s="303"/>
      <c r="E23" s="803"/>
      <c r="F23" s="803"/>
    </row>
    <row r="24" spans="1:18" s="65" customFormat="1" ht="15.4">
      <c r="A24" s="295" t="s">
        <v>539</v>
      </c>
      <c r="B24" s="794"/>
      <c r="C24" s="794"/>
      <c r="D24" s="297"/>
      <c r="E24" s="794"/>
      <c r="F24" s="794"/>
    </row>
    <row r="25" spans="1:18" s="65" customFormat="1" ht="15.4">
      <c r="A25" s="304"/>
      <c r="B25" s="304"/>
      <c r="C25" s="305"/>
      <c r="D25" s="305"/>
      <c r="E25" s="305"/>
      <c r="F25" s="289"/>
    </row>
    <row r="26" spans="1:18" s="65" customFormat="1" ht="15.4">
      <c r="A26" s="795" t="s">
        <v>544</v>
      </c>
      <c r="B26" s="795"/>
      <c r="C26" s="795"/>
      <c r="D26" s="795"/>
      <c r="E26" s="795"/>
      <c r="F26" s="795"/>
    </row>
    <row r="27" spans="1:18" s="65" customFormat="1" ht="15.4">
      <c r="A27" s="228"/>
      <c r="B27" s="287"/>
      <c r="C27" s="288"/>
      <c r="D27" s="288"/>
      <c r="E27" s="288"/>
    </row>
    <row r="28" spans="1:18" s="65" customFormat="1" ht="15.4">
      <c r="A28" s="306" t="s">
        <v>545</v>
      </c>
      <c r="B28" s="287"/>
      <c r="C28" s="288"/>
      <c r="D28" s="288"/>
      <c r="E28" s="288"/>
    </row>
    <row r="29" spans="1:18" s="65" customFormat="1" ht="15.4"/>
    <row r="30" spans="1:18" s="65" customFormat="1" ht="15.4">
      <c r="C30" s="796"/>
      <c r="D30" s="796"/>
      <c r="E30" s="796"/>
      <c r="F30" s="796"/>
    </row>
    <row r="31" spans="1:18" s="65" customFormat="1" ht="15.4">
      <c r="E31" s="797"/>
      <c r="F31" s="797"/>
    </row>
    <row r="32" spans="1:18" s="65" customFormat="1" ht="15.4">
      <c r="A32" s="65" t="s">
        <v>546</v>
      </c>
      <c r="E32" s="308" t="s">
        <v>547</v>
      </c>
      <c r="F32" s="307"/>
    </row>
    <row r="33" spans="1:6" s="65" customFormat="1" ht="15.4">
      <c r="E33" s="307"/>
      <c r="F33" s="307"/>
    </row>
    <row r="34" spans="1:6" s="65" customFormat="1" ht="15.4">
      <c r="A34" s="309" t="s">
        <v>548</v>
      </c>
      <c r="B34" s="310"/>
      <c r="D34" s="311" t="s">
        <v>549</v>
      </c>
      <c r="E34" s="309"/>
      <c r="F34" s="310"/>
    </row>
    <row r="35" spans="1:6" s="65" customFormat="1" ht="15.4">
      <c r="A35" s="312"/>
      <c r="B35" s="313"/>
      <c r="D35" s="314"/>
      <c r="E35" s="313"/>
      <c r="F35" s="313"/>
    </row>
    <row r="36" spans="1:6" ht="15.4">
      <c r="A36" s="309" t="s">
        <v>550</v>
      </c>
      <c r="B36" s="310"/>
      <c r="C36" s="65"/>
      <c r="D36" s="311" t="s">
        <v>551</v>
      </c>
      <c r="E36" s="309"/>
      <c r="F36" s="310"/>
    </row>
    <row r="37" spans="1:6" ht="15.4">
      <c r="A37" s="65"/>
      <c r="B37" s="65"/>
      <c r="C37" s="65"/>
      <c r="D37" s="65"/>
      <c r="E37" s="307"/>
      <c r="F37" s="307"/>
    </row>
  </sheetData>
  <mergeCells count="18">
    <mergeCell ref="M18:R18"/>
    <mergeCell ref="C19:D19"/>
    <mergeCell ref="O19:P19"/>
    <mergeCell ref="E31:F31"/>
    <mergeCell ref="N20:O20"/>
    <mergeCell ref="Q20:R20"/>
    <mergeCell ref="B22:C22"/>
    <mergeCell ref="E22:F22"/>
    <mergeCell ref="B23:C23"/>
    <mergeCell ref="E23:F23"/>
    <mergeCell ref="A6:F14"/>
    <mergeCell ref="B24:C24"/>
    <mergeCell ref="E24:F24"/>
    <mergeCell ref="A26:F26"/>
    <mergeCell ref="C30:F30"/>
    <mergeCell ref="C16:D16"/>
    <mergeCell ref="C17:D17"/>
    <mergeCell ref="C18:D18"/>
  </mergeCells>
  <phoneticPr fontId="98" type="noConversion"/>
  <pageMargins left="0.7" right="0.7" top="0.75" bottom="0.75" header="0.3" footer="0.3"/>
  <pageSetup paperSize="9" scale="92"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P40"/>
  <sheetViews>
    <sheetView view="pageBreakPreview" zoomScale="60" zoomScaleNormal="100" workbookViewId="0">
      <selection activeCell="I14" sqref="I14:P15"/>
    </sheetView>
  </sheetViews>
  <sheetFormatPr defaultColWidth="9" defaultRowHeight="15.4"/>
  <cols>
    <col min="1" max="1" width="13.3984375" style="222" customWidth="1"/>
    <col min="2" max="2" width="7.73046875" style="222" customWidth="1"/>
    <col min="3" max="3" width="23.73046875" style="223" customWidth="1"/>
    <col min="4" max="4" width="19.796875" style="223" customWidth="1"/>
    <col min="5" max="5" width="20.3984375" style="222" customWidth="1"/>
    <col min="6" max="252" width="8.6640625" style="222"/>
    <col min="253" max="255" width="18" style="222" customWidth="1"/>
    <col min="256" max="256" width="18.6640625" style="222" customWidth="1"/>
    <col min="257" max="257" width="8.6640625" style="222"/>
    <col min="258" max="258" width="9.46484375" style="222" customWidth="1"/>
    <col min="259" max="508" width="8.6640625" style="222"/>
    <col min="509" max="511" width="18" style="222" customWidth="1"/>
    <col min="512" max="512" width="18.6640625" style="222" customWidth="1"/>
    <col min="513" max="513" width="8.6640625" style="222"/>
    <col min="514" max="514" width="9.46484375" style="222" customWidth="1"/>
    <col min="515" max="764" width="8.6640625" style="222"/>
    <col min="765" max="767" width="18" style="222" customWidth="1"/>
    <col min="768" max="768" width="18.6640625" style="222" customWidth="1"/>
    <col min="769" max="769" width="8.6640625" style="222"/>
    <col min="770" max="770" width="9.46484375" style="222" customWidth="1"/>
    <col min="771" max="1020" width="8.6640625" style="222"/>
    <col min="1021" max="1023" width="18" style="222" customWidth="1"/>
    <col min="1024" max="1024" width="18.6640625" style="222" customWidth="1"/>
    <col min="1025" max="1025" width="8.6640625" style="222"/>
    <col min="1026" max="1026" width="9.46484375" style="222" customWidth="1"/>
    <col min="1027" max="1276" width="8.6640625" style="222"/>
    <col min="1277" max="1279" width="18" style="222" customWidth="1"/>
    <col min="1280" max="1280" width="18.6640625" style="222" customWidth="1"/>
    <col min="1281" max="1281" width="8.6640625" style="222"/>
    <col min="1282" max="1282" width="9.46484375" style="222" customWidth="1"/>
    <col min="1283" max="1532" width="8.6640625" style="222"/>
    <col min="1533" max="1535" width="18" style="222" customWidth="1"/>
    <col min="1536" max="1536" width="18.6640625" style="222" customWidth="1"/>
    <col min="1537" max="1537" width="8.6640625" style="222"/>
    <col min="1538" max="1538" width="9.46484375" style="222" customWidth="1"/>
    <col min="1539" max="1788" width="8.6640625" style="222"/>
    <col min="1789" max="1791" width="18" style="222" customWidth="1"/>
    <col min="1792" max="1792" width="18.6640625" style="222" customWidth="1"/>
    <col min="1793" max="1793" width="8.6640625" style="222"/>
    <col min="1794" max="1794" width="9.46484375" style="222" customWidth="1"/>
    <col min="1795" max="2044" width="8.6640625" style="222"/>
    <col min="2045" max="2047" width="18" style="222" customWidth="1"/>
    <col min="2048" max="2048" width="18.6640625" style="222" customWidth="1"/>
    <col min="2049" max="2049" width="8.6640625" style="222"/>
    <col min="2050" max="2050" width="9.46484375" style="222" customWidth="1"/>
    <col min="2051" max="2300" width="8.6640625" style="222"/>
    <col min="2301" max="2303" width="18" style="222" customWidth="1"/>
    <col min="2304" max="2304" width="18.6640625" style="222" customWidth="1"/>
    <col min="2305" max="2305" width="8.6640625" style="222"/>
    <col min="2306" max="2306" width="9.46484375" style="222" customWidth="1"/>
    <col min="2307" max="2556" width="8.6640625" style="222"/>
    <col min="2557" max="2559" width="18" style="222" customWidth="1"/>
    <col min="2560" max="2560" width="18.6640625" style="222" customWidth="1"/>
    <col min="2561" max="2561" width="8.6640625" style="222"/>
    <col min="2562" max="2562" width="9.46484375" style="222" customWidth="1"/>
    <col min="2563" max="2812" width="8.6640625" style="222"/>
    <col min="2813" max="2815" width="18" style="222" customWidth="1"/>
    <col min="2816" max="2816" width="18.6640625" style="222" customWidth="1"/>
    <col min="2817" max="2817" width="8.6640625" style="222"/>
    <col min="2818" max="2818" width="9.46484375" style="222" customWidth="1"/>
    <col min="2819" max="3068" width="8.6640625" style="222"/>
    <col min="3069" max="3071" width="18" style="222" customWidth="1"/>
    <col min="3072" max="3072" width="18.6640625" style="222" customWidth="1"/>
    <col min="3073" max="3073" width="8.6640625" style="222"/>
    <col min="3074" max="3074" width="9.46484375" style="222" customWidth="1"/>
    <col min="3075" max="3324" width="8.6640625" style="222"/>
    <col min="3325" max="3327" width="18" style="222" customWidth="1"/>
    <col min="3328" max="3328" width="18.6640625" style="222" customWidth="1"/>
    <col min="3329" max="3329" width="8.6640625" style="222"/>
    <col min="3330" max="3330" width="9.46484375" style="222" customWidth="1"/>
    <col min="3331" max="3580" width="8.6640625" style="222"/>
    <col min="3581" max="3583" width="18" style="222" customWidth="1"/>
    <col min="3584" max="3584" width="18.6640625" style="222" customWidth="1"/>
    <col min="3585" max="3585" width="8.6640625" style="222"/>
    <col min="3586" max="3586" width="9.46484375" style="222" customWidth="1"/>
    <col min="3587" max="3836" width="8.6640625" style="222"/>
    <col min="3837" max="3839" width="18" style="222" customWidth="1"/>
    <col min="3840" max="3840" width="18.6640625" style="222" customWidth="1"/>
    <col min="3841" max="3841" width="8.6640625" style="222"/>
    <col min="3842" max="3842" width="9.46484375" style="222" customWidth="1"/>
    <col min="3843" max="4092" width="8.6640625" style="222"/>
    <col min="4093" max="4095" width="18" style="222" customWidth="1"/>
    <col min="4096" max="4096" width="18.6640625" style="222" customWidth="1"/>
    <col min="4097" max="4097" width="8.6640625" style="222"/>
    <col min="4098" max="4098" width="9.46484375" style="222" customWidth="1"/>
    <col min="4099" max="4348" width="8.6640625" style="222"/>
    <col min="4349" max="4351" width="18" style="222" customWidth="1"/>
    <col min="4352" max="4352" width="18.6640625" style="222" customWidth="1"/>
    <col min="4353" max="4353" width="8.6640625" style="222"/>
    <col min="4354" max="4354" width="9.46484375" style="222" customWidth="1"/>
    <col min="4355" max="4604" width="8.6640625" style="222"/>
    <col min="4605" max="4607" width="18" style="222" customWidth="1"/>
    <col min="4608" max="4608" width="18.6640625" style="222" customWidth="1"/>
    <col min="4609" max="4609" width="8.6640625" style="222"/>
    <col min="4610" max="4610" width="9.46484375" style="222" customWidth="1"/>
    <col min="4611" max="4860" width="8.6640625" style="222"/>
    <col min="4861" max="4863" width="18" style="222" customWidth="1"/>
    <col min="4864" max="4864" width="18.6640625" style="222" customWidth="1"/>
    <col min="4865" max="4865" width="8.6640625" style="222"/>
    <col min="4866" max="4866" width="9.46484375" style="222" customWidth="1"/>
    <col min="4867" max="5116" width="8.6640625" style="222"/>
    <col min="5117" max="5119" width="18" style="222" customWidth="1"/>
    <col min="5120" max="5120" width="18.6640625" style="222" customWidth="1"/>
    <col min="5121" max="5121" width="8.6640625" style="222"/>
    <col min="5122" max="5122" width="9.46484375" style="222" customWidth="1"/>
    <col min="5123" max="5372" width="8.6640625" style="222"/>
    <col min="5373" max="5375" width="18" style="222" customWidth="1"/>
    <col min="5376" max="5376" width="18.6640625" style="222" customWidth="1"/>
    <col min="5377" max="5377" width="8.6640625" style="222"/>
    <col min="5378" max="5378" width="9.46484375" style="222" customWidth="1"/>
    <col min="5379" max="5628" width="8.6640625" style="222"/>
    <col min="5629" max="5631" width="18" style="222" customWidth="1"/>
    <col min="5632" max="5632" width="18.6640625" style="222" customWidth="1"/>
    <col min="5633" max="5633" width="8.6640625" style="222"/>
    <col min="5634" max="5634" width="9.46484375" style="222" customWidth="1"/>
    <col min="5635" max="5884" width="8.6640625" style="222"/>
    <col min="5885" max="5887" width="18" style="222" customWidth="1"/>
    <col min="5888" max="5888" width="18.6640625" style="222" customWidth="1"/>
    <col min="5889" max="5889" width="8.6640625" style="222"/>
    <col min="5890" max="5890" width="9.46484375" style="222" customWidth="1"/>
    <col min="5891" max="6140" width="8.6640625" style="222"/>
    <col min="6141" max="6143" width="18" style="222" customWidth="1"/>
    <col min="6144" max="6144" width="18.6640625" style="222" customWidth="1"/>
    <col min="6145" max="6145" width="8.6640625" style="222"/>
    <col min="6146" max="6146" width="9.46484375" style="222" customWidth="1"/>
    <col min="6147" max="6396" width="8.6640625" style="222"/>
    <col min="6397" max="6399" width="18" style="222" customWidth="1"/>
    <col min="6400" max="6400" width="18.6640625" style="222" customWidth="1"/>
    <col min="6401" max="6401" width="8.6640625" style="222"/>
    <col min="6402" max="6402" width="9.46484375" style="222" customWidth="1"/>
    <col min="6403" max="6652" width="8.6640625" style="222"/>
    <col min="6653" max="6655" width="18" style="222" customWidth="1"/>
    <col min="6656" max="6656" width="18.6640625" style="222" customWidth="1"/>
    <col min="6657" max="6657" width="8.6640625" style="222"/>
    <col min="6658" max="6658" width="9.46484375" style="222" customWidth="1"/>
    <col min="6659" max="6908" width="8.6640625" style="222"/>
    <col min="6909" max="6911" width="18" style="222" customWidth="1"/>
    <col min="6912" max="6912" width="18.6640625" style="222" customWidth="1"/>
    <col min="6913" max="6913" width="8.6640625" style="222"/>
    <col min="6914" max="6914" width="9.46484375" style="222" customWidth="1"/>
    <col min="6915" max="7164" width="8.6640625" style="222"/>
    <col min="7165" max="7167" width="18" style="222" customWidth="1"/>
    <col min="7168" max="7168" width="18.6640625" style="222" customWidth="1"/>
    <col min="7169" max="7169" width="8.6640625" style="222"/>
    <col min="7170" max="7170" width="9.46484375" style="222" customWidth="1"/>
    <col min="7171" max="7420" width="8.6640625" style="222"/>
    <col min="7421" max="7423" width="18" style="222" customWidth="1"/>
    <col min="7424" max="7424" width="18.6640625" style="222" customWidth="1"/>
    <col min="7425" max="7425" width="8.6640625" style="222"/>
    <col min="7426" max="7426" width="9.46484375" style="222" customWidth="1"/>
    <col min="7427" max="7676" width="8.6640625" style="222"/>
    <col min="7677" max="7679" width="18" style="222" customWidth="1"/>
    <col min="7680" max="7680" width="18.6640625" style="222" customWidth="1"/>
    <col min="7681" max="7681" width="8.6640625" style="222"/>
    <col min="7682" max="7682" width="9.46484375" style="222" customWidth="1"/>
    <col min="7683" max="7932" width="8.6640625" style="222"/>
    <col min="7933" max="7935" width="18" style="222" customWidth="1"/>
    <col min="7936" max="7936" width="18.6640625" style="222" customWidth="1"/>
    <col min="7937" max="7937" width="8.6640625" style="222"/>
    <col min="7938" max="7938" width="9.46484375" style="222" customWidth="1"/>
    <col min="7939" max="8188" width="8.6640625" style="222"/>
    <col min="8189" max="8191" width="18" style="222" customWidth="1"/>
    <col min="8192" max="8192" width="18.6640625" style="222" customWidth="1"/>
    <col min="8193" max="8193" width="8.6640625" style="222"/>
    <col min="8194" max="8194" width="9.46484375" style="222" customWidth="1"/>
    <col min="8195" max="8444" width="8.6640625" style="222"/>
    <col min="8445" max="8447" width="18" style="222" customWidth="1"/>
    <col min="8448" max="8448" width="18.6640625" style="222" customWidth="1"/>
    <col min="8449" max="8449" width="8.6640625" style="222"/>
    <col min="8450" max="8450" width="9.46484375" style="222" customWidth="1"/>
    <col min="8451" max="8700" width="8.6640625" style="222"/>
    <col min="8701" max="8703" width="18" style="222" customWidth="1"/>
    <col min="8704" max="8704" width="18.6640625" style="222" customWidth="1"/>
    <col min="8705" max="8705" width="8.6640625" style="222"/>
    <col min="8706" max="8706" width="9.46484375" style="222" customWidth="1"/>
    <col min="8707" max="8956" width="8.6640625" style="222"/>
    <col min="8957" max="8959" width="18" style="222" customWidth="1"/>
    <col min="8960" max="8960" width="18.6640625" style="222" customWidth="1"/>
    <col min="8961" max="8961" width="8.6640625" style="222"/>
    <col min="8962" max="8962" width="9.46484375" style="222" customWidth="1"/>
    <col min="8963" max="9212" width="8.6640625" style="222"/>
    <col min="9213" max="9215" width="18" style="222" customWidth="1"/>
    <col min="9216" max="9216" width="18.6640625" style="222" customWidth="1"/>
    <col min="9217" max="9217" width="8.6640625" style="222"/>
    <col min="9218" max="9218" width="9.46484375" style="222" customWidth="1"/>
    <col min="9219" max="9468" width="8.6640625" style="222"/>
    <col min="9469" max="9471" width="18" style="222" customWidth="1"/>
    <col min="9472" max="9472" width="18.6640625" style="222" customWidth="1"/>
    <col min="9473" max="9473" width="8.6640625" style="222"/>
    <col min="9474" max="9474" width="9.46484375" style="222" customWidth="1"/>
    <col min="9475" max="9724" width="8.6640625" style="222"/>
    <col min="9725" max="9727" width="18" style="222" customWidth="1"/>
    <col min="9728" max="9728" width="18.6640625" style="222" customWidth="1"/>
    <col min="9729" max="9729" width="8.6640625" style="222"/>
    <col min="9730" max="9730" width="9.46484375" style="222" customWidth="1"/>
    <col min="9731" max="9980" width="8.6640625" style="222"/>
    <col min="9981" max="9983" width="18" style="222" customWidth="1"/>
    <col min="9984" max="9984" width="18.6640625" style="222" customWidth="1"/>
    <col min="9985" max="9985" width="8.6640625" style="222"/>
    <col min="9986" max="9986" width="9.46484375" style="222" customWidth="1"/>
    <col min="9987" max="10236" width="8.6640625" style="222"/>
    <col min="10237" max="10239" width="18" style="222" customWidth="1"/>
    <col min="10240" max="10240" width="18.6640625" style="222" customWidth="1"/>
    <col min="10241" max="10241" width="8.6640625" style="222"/>
    <col min="10242" max="10242" width="9.46484375" style="222" customWidth="1"/>
    <col min="10243" max="10492" width="8.6640625" style="222"/>
    <col min="10493" max="10495" width="18" style="222" customWidth="1"/>
    <col min="10496" max="10496" width="18.6640625" style="222" customWidth="1"/>
    <col min="10497" max="10497" width="8.6640625" style="222"/>
    <col min="10498" max="10498" width="9.46484375" style="222" customWidth="1"/>
    <col min="10499" max="10748" width="8.6640625" style="222"/>
    <col min="10749" max="10751" width="18" style="222" customWidth="1"/>
    <col min="10752" max="10752" width="18.6640625" style="222" customWidth="1"/>
    <col min="10753" max="10753" width="8.6640625" style="222"/>
    <col min="10754" max="10754" width="9.46484375" style="222" customWidth="1"/>
    <col min="10755" max="11004" width="8.6640625" style="222"/>
    <col min="11005" max="11007" width="18" style="222" customWidth="1"/>
    <col min="11008" max="11008" width="18.6640625" style="222" customWidth="1"/>
    <col min="11009" max="11009" width="8.6640625" style="222"/>
    <col min="11010" max="11010" width="9.46484375" style="222" customWidth="1"/>
    <col min="11011" max="11260" width="8.6640625" style="222"/>
    <col min="11261" max="11263" width="18" style="222" customWidth="1"/>
    <col min="11264" max="11264" width="18.6640625" style="222" customWidth="1"/>
    <col min="11265" max="11265" width="8.6640625" style="222"/>
    <col min="11266" max="11266" width="9.46484375" style="222" customWidth="1"/>
    <col min="11267" max="11516" width="8.6640625" style="222"/>
    <col min="11517" max="11519" width="18" style="222" customWidth="1"/>
    <col min="11520" max="11520" width="18.6640625" style="222" customWidth="1"/>
    <col min="11521" max="11521" width="8.6640625" style="222"/>
    <col min="11522" max="11522" width="9.46484375" style="222" customWidth="1"/>
    <col min="11523" max="11772" width="8.6640625" style="222"/>
    <col min="11773" max="11775" width="18" style="222" customWidth="1"/>
    <col min="11776" max="11776" width="18.6640625" style="222" customWidth="1"/>
    <col min="11777" max="11777" width="8.6640625" style="222"/>
    <col min="11778" max="11778" width="9.46484375" style="222" customWidth="1"/>
    <col min="11779" max="12028" width="8.6640625" style="222"/>
    <col min="12029" max="12031" width="18" style="222" customWidth="1"/>
    <col min="12032" max="12032" width="18.6640625" style="222" customWidth="1"/>
    <col min="12033" max="12033" width="8.6640625" style="222"/>
    <col min="12034" max="12034" width="9.46484375" style="222" customWidth="1"/>
    <col min="12035" max="12284" width="8.6640625" style="222"/>
    <col min="12285" max="12287" width="18" style="222" customWidth="1"/>
    <col min="12288" max="12288" width="18.6640625" style="222" customWidth="1"/>
    <col min="12289" max="12289" width="8.6640625" style="222"/>
    <col min="12290" max="12290" width="9.46484375" style="222" customWidth="1"/>
    <col min="12291" max="12540" width="8.6640625" style="222"/>
    <col min="12541" max="12543" width="18" style="222" customWidth="1"/>
    <col min="12544" max="12544" width="18.6640625" style="222" customWidth="1"/>
    <col min="12545" max="12545" width="8.6640625" style="222"/>
    <col min="12546" max="12546" width="9.46484375" style="222" customWidth="1"/>
    <col min="12547" max="12796" width="8.6640625" style="222"/>
    <col min="12797" max="12799" width="18" style="222" customWidth="1"/>
    <col min="12800" max="12800" width="18.6640625" style="222" customWidth="1"/>
    <col min="12801" max="12801" width="8.6640625" style="222"/>
    <col min="12802" max="12802" width="9.46484375" style="222" customWidth="1"/>
    <col min="12803" max="13052" width="8.6640625" style="222"/>
    <col min="13053" max="13055" width="18" style="222" customWidth="1"/>
    <col min="13056" max="13056" width="18.6640625" style="222" customWidth="1"/>
    <col min="13057" max="13057" width="8.6640625" style="222"/>
    <col min="13058" max="13058" width="9.46484375" style="222" customWidth="1"/>
    <col min="13059" max="13308" width="8.6640625" style="222"/>
    <col min="13309" max="13311" width="18" style="222" customWidth="1"/>
    <col min="13312" max="13312" width="18.6640625" style="222" customWidth="1"/>
    <col min="13313" max="13313" width="8.6640625" style="222"/>
    <col min="13314" max="13314" width="9.46484375" style="222" customWidth="1"/>
    <col min="13315" max="13564" width="8.6640625" style="222"/>
    <col min="13565" max="13567" width="18" style="222" customWidth="1"/>
    <col min="13568" max="13568" width="18.6640625" style="222" customWidth="1"/>
    <col min="13569" max="13569" width="8.6640625" style="222"/>
    <col min="13570" max="13570" width="9.46484375" style="222" customWidth="1"/>
    <col min="13571" max="13820" width="8.6640625" style="222"/>
    <col min="13821" max="13823" width="18" style="222" customWidth="1"/>
    <col min="13824" max="13824" width="18.6640625" style="222" customWidth="1"/>
    <col min="13825" max="13825" width="8.6640625" style="222"/>
    <col min="13826" max="13826" width="9.46484375" style="222" customWidth="1"/>
    <col min="13827" max="14076" width="8.6640625" style="222"/>
    <col min="14077" max="14079" width="18" style="222" customWidth="1"/>
    <col min="14080" max="14080" width="18.6640625" style="222" customWidth="1"/>
    <col min="14081" max="14081" width="8.6640625" style="222"/>
    <col min="14082" max="14082" width="9.46484375" style="222" customWidth="1"/>
    <col min="14083" max="14332" width="8.6640625" style="222"/>
    <col min="14333" max="14335" width="18" style="222" customWidth="1"/>
    <col min="14336" max="14336" width="18.6640625" style="222" customWidth="1"/>
    <col min="14337" max="14337" width="8.6640625" style="222"/>
    <col min="14338" max="14338" width="9.46484375" style="222" customWidth="1"/>
    <col min="14339" max="14588" width="8.6640625" style="222"/>
    <col min="14589" max="14591" width="18" style="222" customWidth="1"/>
    <col min="14592" max="14592" width="18.6640625" style="222" customWidth="1"/>
    <col min="14593" max="14593" width="8.6640625" style="222"/>
    <col min="14594" max="14594" width="9.46484375" style="222" customWidth="1"/>
    <col min="14595" max="14844" width="8.6640625" style="222"/>
    <col min="14845" max="14847" width="18" style="222" customWidth="1"/>
    <col min="14848" max="14848" width="18.6640625" style="222" customWidth="1"/>
    <col min="14849" max="14849" width="8.6640625" style="222"/>
    <col min="14850" max="14850" width="9.46484375" style="222" customWidth="1"/>
    <col min="14851" max="15100" width="8.6640625" style="222"/>
    <col min="15101" max="15103" width="18" style="222" customWidth="1"/>
    <col min="15104" max="15104" width="18.6640625" style="222" customWidth="1"/>
    <col min="15105" max="15105" width="8.6640625" style="222"/>
    <col min="15106" max="15106" width="9.46484375" style="222" customWidth="1"/>
    <col min="15107" max="15356" width="8.6640625" style="222"/>
    <col min="15357" max="15359" width="18" style="222" customWidth="1"/>
    <col min="15360" max="15360" width="18.6640625" style="222" customWidth="1"/>
    <col min="15361" max="15361" width="8.6640625" style="222"/>
    <col min="15362" max="15362" width="9.46484375" style="222" customWidth="1"/>
    <col min="15363" max="15612" width="8.6640625" style="222"/>
    <col min="15613" max="15615" width="18" style="222" customWidth="1"/>
    <col min="15616" max="15616" width="18.6640625" style="222" customWidth="1"/>
    <col min="15617" max="15617" width="8.6640625" style="222"/>
    <col min="15618" max="15618" width="9.46484375" style="222" customWidth="1"/>
    <col min="15619" max="15868" width="8.6640625" style="222"/>
    <col min="15869" max="15871" width="18" style="222" customWidth="1"/>
    <col min="15872" max="15872" width="18.6640625" style="222" customWidth="1"/>
    <col min="15873" max="15873" width="8.6640625" style="222"/>
    <col min="15874" max="15874" width="9.46484375" style="222" customWidth="1"/>
    <col min="15875" max="16124" width="8.6640625" style="222"/>
    <col min="16125" max="16127" width="18" style="222" customWidth="1"/>
    <col min="16128" max="16128" width="18.6640625" style="222" customWidth="1"/>
    <col min="16129" max="16129" width="8.6640625" style="222"/>
    <col min="16130" max="16130" width="9.46484375" style="222" customWidth="1"/>
    <col min="16131" max="16384" width="8.6640625" style="222"/>
  </cols>
  <sheetData>
    <row r="1" spans="1:16" ht="70.5" customHeight="1">
      <c r="D1" s="224"/>
      <c r="E1" s="225"/>
    </row>
    <row r="2" spans="1:16" ht="18.75">
      <c r="A2" s="815" t="s">
        <v>552</v>
      </c>
      <c r="B2" s="815"/>
      <c r="C2" s="815"/>
      <c r="D2" s="815"/>
      <c r="E2" s="225"/>
      <c r="J2" s="209" t="s">
        <v>188</v>
      </c>
      <c r="K2" s="109"/>
    </row>
    <row r="3" spans="1:16">
      <c r="A3" s="226"/>
      <c r="B3" s="226"/>
      <c r="C3" s="227"/>
      <c r="D3" s="228" t="s">
        <v>529</v>
      </c>
      <c r="E3" s="229" t="e">
        <f>INDEX(基本信息!E:E,MATCH(E4,基本信息!D:D,0))</f>
        <v>#N/A</v>
      </c>
      <c r="J3" s="109"/>
      <c r="K3" s="109"/>
    </row>
    <row r="4" spans="1:16">
      <c r="A4" s="230" t="e">
        <f>"To："&amp;INDEX(基本信息!C:C,MATCH(E4,基本信息!D:D,0))</f>
        <v>#N/A</v>
      </c>
      <c r="B4" s="231"/>
      <c r="C4" s="227"/>
      <c r="D4" s="228" t="s">
        <v>530</v>
      </c>
      <c r="E4" s="232"/>
      <c r="J4" s="44" t="s">
        <v>51</v>
      </c>
      <c r="K4" s="45" t="s">
        <v>191</v>
      </c>
    </row>
    <row r="5" spans="1:16">
      <c r="A5" s="818" t="s">
        <v>553</v>
      </c>
      <c r="B5" s="818"/>
      <c r="C5" s="818"/>
      <c r="D5" s="818"/>
      <c r="E5" s="818"/>
      <c r="J5" s="44" t="s">
        <v>53</v>
      </c>
      <c r="K5" s="45" t="s">
        <v>193</v>
      </c>
    </row>
    <row r="6" spans="1:16">
      <c r="A6" s="818"/>
      <c r="B6" s="818"/>
      <c r="C6" s="818"/>
      <c r="D6" s="818"/>
      <c r="E6" s="818"/>
      <c r="J6" s="44" t="s">
        <v>55</v>
      </c>
      <c r="K6" s="45" t="s">
        <v>194</v>
      </c>
    </row>
    <row r="7" spans="1:16">
      <c r="A7" s="818"/>
      <c r="B7" s="818"/>
      <c r="C7" s="818"/>
      <c r="D7" s="818"/>
      <c r="E7" s="818"/>
      <c r="J7" s="44" t="s">
        <v>57</v>
      </c>
      <c r="K7" s="45" t="s">
        <v>195</v>
      </c>
    </row>
    <row r="8" spans="1:16">
      <c r="A8" s="818"/>
      <c r="B8" s="818"/>
      <c r="C8" s="818"/>
      <c r="D8" s="818"/>
      <c r="E8" s="818"/>
      <c r="J8" s="44" t="s">
        <v>59</v>
      </c>
      <c r="K8" s="46" t="s">
        <v>39</v>
      </c>
    </row>
    <row r="9" spans="1:16">
      <c r="A9" s="818"/>
      <c r="B9" s="818"/>
      <c r="C9" s="818"/>
      <c r="D9" s="818"/>
      <c r="E9" s="818"/>
      <c r="J9" s="47" t="s">
        <v>60</v>
      </c>
      <c r="K9" s="48" t="s">
        <v>196</v>
      </c>
    </row>
    <row r="10" spans="1:16">
      <c r="A10" s="818"/>
      <c r="B10" s="818"/>
      <c r="C10" s="818"/>
      <c r="D10" s="818"/>
      <c r="E10" s="818"/>
      <c r="J10" s="271" t="s">
        <v>62</v>
      </c>
      <c r="K10" s="49">
        <v>60</v>
      </c>
    </row>
    <row r="11" spans="1:16">
      <c r="A11" s="818"/>
      <c r="B11" s="818"/>
      <c r="C11" s="818"/>
      <c r="D11" s="818"/>
      <c r="E11" s="818"/>
    </row>
    <row r="12" spans="1:16">
      <c r="A12" s="818"/>
      <c r="B12" s="818"/>
      <c r="C12" s="818"/>
      <c r="D12" s="818"/>
      <c r="E12" s="818"/>
    </row>
    <row r="13" spans="1:16">
      <c r="A13" s="819" t="s">
        <v>554</v>
      </c>
      <c r="B13" s="819"/>
      <c r="C13" s="819"/>
      <c r="D13" s="819"/>
      <c r="E13" s="819"/>
      <c r="I13" s="50" t="s">
        <v>65</v>
      </c>
      <c r="J13" s="50" t="s">
        <v>66</v>
      </c>
      <c r="K13" s="272" t="s">
        <v>67</v>
      </c>
      <c r="L13" s="805" t="s">
        <v>68</v>
      </c>
      <c r="M13" s="806"/>
      <c r="N13" s="806"/>
      <c r="O13" s="806"/>
      <c r="P13" s="806"/>
    </row>
    <row r="14" spans="1:16" ht="27">
      <c r="A14" s="819"/>
      <c r="B14" s="819"/>
      <c r="C14" s="819"/>
      <c r="D14" s="819"/>
      <c r="E14" s="819"/>
      <c r="I14" s="213" t="s">
        <v>205</v>
      </c>
      <c r="J14" s="213">
        <v>20</v>
      </c>
      <c r="K14" s="274" t="s">
        <v>67</v>
      </c>
      <c r="L14" s="238" t="s">
        <v>555</v>
      </c>
      <c r="M14" s="238" t="s">
        <v>556</v>
      </c>
      <c r="N14" s="275" t="s">
        <v>557</v>
      </c>
      <c r="O14" s="275" t="s">
        <v>558</v>
      </c>
      <c r="P14" s="276" t="s">
        <v>559</v>
      </c>
    </row>
    <row r="15" spans="1:16" ht="18" customHeight="1">
      <c r="A15" s="233" t="s">
        <v>560</v>
      </c>
      <c r="B15" s="233"/>
      <c r="C15" s="234"/>
      <c r="D15" s="234" t="s">
        <v>561</v>
      </c>
      <c r="E15" s="235"/>
      <c r="I15" s="213" t="s">
        <v>210</v>
      </c>
      <c r="J15" s="213">
        <v>25</v>
      </c>
      <c r="K15" s="274" t="s">
        <v>67</v>
      </c>
      <c r="L15" s="238" t="s">
        <v>562</v>
      </c>
      <c r="M15" s="238" t="s">
        <v>556</v>
      </c>
      <c r="N15" s="239" t="s">
        <v>563</v>
      </c>
      <c r="O15" s="239" t="s">
        <v>564</v>
      </c>
      <c r="P15" s="238" t="s">
        <v>565</v>
      </c>
    </row>
    <row r="16" spans="1:16" ht="16.5" customHeight="1">
      <c r="A16" s="233" t="s">
        <v>566</v>
      </c>
      <c r="B16" s="233"/>
      <c r="C16" s="234"/>
      <c r="D16" s="234" t="s">
        <v>567</v>
      </c>
      <c r="E16" s="235"/>
    </row>
    <row r="17" spans="1:5" ht="16.5" customHeight="1">
      <c r="A17" s="236" t="s">
        <v>568</v>
      </c>
      <c r="B17" s="236"/>
      <c r="C17" s="227"/>
      <c r="D17" s="227"/>
      <c r="E17" s="237"/>
    </row>
    <row r="18" spans="1:5">
      <c r="A18" s="816" t="s">
        <v>569</v>
      </c>
      <c r="B18" s="816"/>
      <c r="C18" s="816"/>
      <c r="D18" s="816"/>
      <c r="E18" s="816"/>
    </row>
    <row r="19" spans="1:5" ht="27">
      <c r="A19" s="238" t="s">
        <v>555</v>
      </c>
      <c r="B19" s="238" t="s">
        <v>556</v>
      </c>
      <c r="C19" s="239" t="s">
        <v>557</v>
      </c>
      <c r="D19" s="239" t="s">
        <v>558</v>
      </c>
      <c r="E19" s="238" t="s">
        <v>559</v>
      </c>
    </row>
    <row r="20" spans="1:5">
      <c r="A20" s="240"/>
      <c r="B20" s="240"/>
      <c r="C20" s="241"/>
      <c r="D20" s="241"/>
      <c r="E20" s="242"/>
    </row>
    <row r="21" spans="1:5">
      <c r="A21" s="240"/>
      <c r="B21" s="240"/>
      <c r="C21" s="241"/>
      <c r="D21" s="243"/>
      <c r="E21" s="242"/>
    </row>
    <row r="22" spans="1:5">
      <c r="A22" s="244"/>
      <c r="B22" s="244"/>
      <c r="C22" s="245"/>
      <c r="D22" s="245"/>
      <c r="E22" s="244"/>
    </row>
    <row r="23" spans="1:5">
      <c r="A23" s="816" t="s">
        <v>570</v>
      </c>
      <c r="B23" s="816"/>
      <c r="C23" s="816"/>
      <c r="D23" s="816"/>
      <c r="E23" s="816"/>
    </row>
    <row r="24" spans="1:5" s="220" customFormat="1" ht="27">
      <c r="A24" s="238" t="s">
        <v>562</v>
      </c>
      <c r="B24" s="238" t="s">
        <v>556</v>
      </c>
      <c r="C24" s="239" t="s">
        <v>563</v>
      </c>
      <c r="D24" s="239" t="s">
        <v>564</v>
      </c>
      <c r="E24" s="238" t="s">
        <v>565</v>
      </c>
    </row>
    <row r="25" spans="1:5" s="220" customFormat="1">
      <c r="A25" s="246"/>
      <c r="B25" s="246"/>
      <c r="C25" s="247"/>
      <c r="D25" s="248"/>
      <c r="E25" s="242"/>
    </row>
    <row r="26" spans="1:5" s="220" customFormat="1">
      <c r="A26" s="246"/>
      <c r="B26" s="246"/>
      <c r="C26" s="247"/>
      <c r="D26" s="248"/>
      <c r="E26" s="242"/>
    </row>
    <row r="27" spans="1:5" s="220" customFormat="1" ht="25.5" customHeight="1">
      <c r="A27" s="817" t="s">
        <v>571</v>
      </c>
      <c r="B27" s="817"/>
      <c r="C27" s="817"/>
      <c r="D27" s="817"/>
      <c r="E27" s="817"/>
    </row>
    <row r="28" spans="1:5" s="221" customFormat="1" ht="16.5" customHeight="1">
      <c r="E28" s="221" t="s">
        <v>572</v>
      </c>
    </row>
    <row r="29" spans="1:5" s="220" customFormat="1" ht="16.5" customHeight="1">
      <c r="A29" s="236"/>
      <c r="B29" s="236"/>
      <c r="C29" s="227"/>
      <c r="D29" s="227"/>
      <c r="E29" s="237"/>
    </row>
    <row r="30" spans="1:5" s="220" customFormat="1" ht="16.5" customHeight="1">
      <c r="A30" s="221"/>
      <c r="B30" s="221"/>
      <c r="C30" s="227"/>
      <c r="D30" s="808"/>
      <c r="E30" s="808"/>
    </row>
    <row r="31" spans="1:5" s="220" customFormat="1" ht="16.5" customHeight="1">
      <c r="A31" s="809" t="s">
        <v>573</v>
      </c>
      <c r="B31" s="809"/>
      <c r="C31" s="809"/>
      <c r="D31" s="809"/>
      <c r="E31" s="809"/>
    </row>
    <row r="32" spans="1:5" s="220" customFormat="1" ht="16.5" customHeight="1">
      <c r="A32" s="810">
        <v>43864.947530902798</v>
      </c>
      <c r="B32" s="810"/>
      <c r="C32" s="810"/>
      <c r="D32" s="810"/>
      <c r="E32" s="810"/>
    </row>
    <row r="33" spans="1:5" s="220" customFormat="1" ht="16.5" customHeight="1">
      <c r="A33" s="811"/>
      <c r="B33" s="811"/>
      <c r="C33" s="811"/>
      <c r="D33" s="811"/>
      <c r="E33" s="811"/>
    </row>
    <row r="34" spans="1:5" s="220" customFormat="1" ht="49.5" customHeight="1">
      <c r="A34" s="812" t="s">
        <v>574</v>
      </c>
      <c r="B34" s="813"/>
      <c r="C34" s="814"/>
      <c r="D34" s="812" t="s">
        <v>575</v>
      </c>
      <c r="E34" s="814"/>
    </row>
    <row r="35" spans="1:5" s="220" customFormat="1" ht="16.5" customHeight="1">
      <c r="A35" s="249"/>
      <c r="B35" s="250"/>
      <c r="C35" s="251"/>
      <c r="D35" s="252" t="s">
        <v>576</v>
      </c>
      <c r="E35" s="253"/>
    </row>
    <row r="36" spans="1:5" s="220" customFormat="1" ht="16.5" customHeight="1">
      <c r="A36" s="254"/>
      <c r="B36" s="255"/>
      <c r="C36" s="251"/>
      <c r="D36" s="256"/>
      <c r="E36" s="257"/>
    </row>
    <row r="37" spans="1:5" s="220" customFormat="1" ht="16.5" customHeight="1">
      <c r="A37" s="254"/>
      <c r="B37" s="255"/>
      <c r="C37" s="258" t="s">
        <v>577</v>
      </c>
      <c r="D37" s="259"/>
      <c r="E37" s="260" t="s">
        <v>577</v>
      </c>
    </row>
    <row r="38" spans="1:5" s="220" customFormat="1" ht="16.5" customHeight="1">
      <c r="A38" s="254"/>
      <c r="B38" s="255"/>
      <c r="C38" s="261"/>
      <c r="D38" s="259"/>
      <c r="E38" s="261"/>
    </row>
    <row r="39" spans="1:5" s="220" customFormat="1" ht="16.5" customHeight="1">
      <c r="A39" s="262"/>
      <c r="B39" s="244"/>
      <c r="C39" s="263"/>
      <c r="D39" s="264"/>
      <c r="E39" s="265"/>
    </row>
    <row r="40" spans="1:5" ht="16.5" customHeight="1">
      <c r="A40" s="266"/>
      <c r="B40" s="267"/>
      <c r="C40" s="268"/>
      <c r="D40" s="269"/>
      <c r="E40" s="270"/>
    </row>
  </sheetData>
  <mergeCells count="13">
    <mergeCell ref="A2:D2"/>
    <mergeCell ref="L13:P13"/>
    <mergeCell ref="A18:E18"/>
    <mergeCell ref="A23:E23"/>
    <mergeCell ref="A27:E27"/>
    <mergeCell ref="A5:E12"/>
    <mergeCell ref="A13:E14"/>
    <mergeCell ref="D30:E30"/>
    <mergeCell ref="A31:E31"/>
    <mergeCell ref="A32:E32"/>
    <mergeCell ref="A33:E33"/>
    <mergeCell ref="A34:C34"/>
    <mergeCell ref="D34:E34"/>
  </mergeCells>
  <phoneticPr fontId="98" type="noConversion"/>
  <pageMargins left="0.7" right="0.7"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7">
    <pageSetUpPr fitToPage="1"/>
  </sheetPr>
  <dimension ref="A1:S52"/>
  <sheetViews>
    <sheetView view="pageBreakPreview" zoomScaleNormal="100" zoomScaleSheetLayoutView="100" workbookViewId="0">
      <selection activeCell="H3" sqref="H3"/>
    </sheetView>
  </sheetViews>
  <sheetFormatPr defaultColWidth="8.265625" defaultRowHeight="15.4"/>
  <cols>
    <col min="1" max="1" width="40.9296875" style="65" customWidth="1"/>
    <col min="2" max="4" width="14.59765625" style="65" customWidth="1"/>
    <col min="5" max="5" width="19.46484375" style="65" customWidth="1"/>
    <col min="6" max="16384" width="8.265625" style="65"/>
  </cols>
  <sheetData>
    <row r="1" spans="1:19" ht="52.5" customHeight="1">
      <c r="A1" s="66"/>
      <c r="B1" s="66"/>
      <c r="C1" s="66"/>
      <c r="D1" s="66"/>
      <c r="E1" s="67"/>
    </row>
    <row r="2" spans="1:19" ht="20.25">
      <c r="A2" s="66" t="s">
        <v>578</v>
      </c>
      <c r="B2" s="66"/>
      <c r="C2" s="66"/>
      <c r="D2" s="66"/>
      <c r="E2" s="66"/>
      <c r="H2" s="68" t="str">
        <f>HYPERLINK("#基本信息!I1","返回基本信息")</f>
        <v>返回基本信息</v>
      </c>
      <c r="M2" s="209" t="s">
        <v>188</v>
      </c>
      <c r="N2" s="109"/>
    </row>
    <row r="3" spans="1:19">
      <c r="B3" s="109"/>
      <c r="C3" s="109"/>
      <c r="D3" s="169" t="s">
        <v>187</v>
      </c>
      <c r="E3" s="61" t="e">
        <f>INDEX(基本信息!E:E,MATCH(E4,基本信息!D:D,0))</f>
        <v>#N/A</v>
      </c>
      <c r="H3" s="68" t="str">
        <f>HYPERLINK("#操作平台!A3","返回操作平台")</f>
        <v>返回操作平台</v>
      </c>
      <c r="L3" s="109"/>
      <c r="M3" s="109"/>
      <c r="N3" s="109"/>
      <c r="O3" s="109"/>
      <c r="P3" s="109"/>
      <c r="Q3" s="109"/>
      <c r="R3" s="109"/>
    </row>
    <row r="4" spans="1:19">
      <c r="A4" s="70" t="e">
        <f>"致："&amp;INDEX(基本信息!C:C,MATCH(E4,基本信息!D:D,0))</f>
        <v>#N/A</v>
      </c>
      <c r="B4" s="109"/>
      <c r="C4" s="109"/>
      <c r="D4" s="169" t="s">
        <v>189</v>
      </c>
      <c r="E4" s="170" t="s">
        <v>190</v>
      </c>
      <c r="H4" s="119" t="str">
        <f>HYPERLINK("#使用说明!B2","返回模板池")</f>
        <v>返回模板池</v>
      </c>
      <c r="I4" s="61"/>
      <c r="L4" s="109"/>
      <c r="M4" s="44" t="s">
        <v>51</v>
      </c>
      <c r="N4" s="210" t="s">
        <v>191</v>
      </c>
      <c r="O4" s="109"/>
      <c r="P4" s="109"/>
      <c r="Q4" s="109"/>
      <c r="R4" s="109"/>
    </row>
    <row r="5" spans="1:19" s="61" customFormat="1" ht="13.15">
      <c r="A5" s="628" t="s">
        <v>192</v>
      </c>
      <c r="B5" s="628"/>
      <c r="C5" s="628"/>
      <c r="D5" s="628"/>
      <c r="E5" s="628"/>
      <c r="L5" s="109"/>
      <c r="M5" s="44" t="s">
        <v>53</v>
      </c>
      <c r="N5" s="210" t="s">
        <v>193</v>
      </c>
      <c r="O5" s="109"/>
      <c r="P5" s="109"/>
      <c r="Q5" s="109"/>
      <c r="R5" s="109"/>
    </row>
    <row r="6" spans="1:19" s="62" customFormat="1">
      <c r="A6" s="628"/>
      <c r="B6" s="628"/>
      <c r="C6" s="628"/>
      <c r="D6" s="628"/>
      <c r="E6" s="628"/>
      <c r="H6" s="74"/>
      <c r="L6" s="109"/>
      <c r="M6" s="44" t="s">
        <v>55</v>
      </c>
      <c r="N6" s="210" t="s">
        <v>194</v>
      </c>
      <c r="O6" s="109"/>
      <c r="P6" s="109"/>
      <c r="Q6" s="109"/>
      <c r="R6" s="109"/>
    </row>
    <row r="7" spans="1:19" s="62" customFormat="1">
      <c r="A7" s="628"/>
      <c r="B7" s="628"/>
      <c r="C7" s="628"/>
      <c r="D7" s="628"/>
      <c r="E7" s="628"/>
      <c r="H7" s="74"/>
      <c r="L7" s="109"/>
      <c r="M7" s="44" t="s">
        <v>57</v>
      </c>
      <c r="N7" s="45" t="s">
        <v>579</v>
      </c>
      <c r="O7" s="109"/>
      <c r="P7" s="109"/>
      <c r="Q7" s="109"/>
      <c r="R7" s="109"/>
    </row>
    <row r="8" spans="1:19" s="62" customFormat="1" ht="13.9">
      <c r="A8" s="628"/>
      <c r="B8" s="628"/>
      <c r="C8" s="628"/>
      <c r="D8" s="628"/>
      <c r="E8" s="628"/>
      <c r="L8" s="109"/>
      <c r="M8" s="44" t="s">
        <v>59</v>
      </c>
      <c r="N8" s="46" t="s">
        <v>9</v>
      </c>
      <c r="O8" s="109"/>
      <c r="P8" s="109"/>
      <c r="Q8" s="109"/>
      <c r="R8" s="109"/>
    </row>
    <row r="9" spans="1:19" s="62" customFormat="1" ht="13.9">
      <c r="A9" s="628"/>
      <c r="B9" s="628"/>
      <c r="C9" s="628"/>
      <c r="D9" s="628"/>
      <c r="E9" s="628"/>
      <c r="L9" s="109"/>
      <c r="M9" s="62" t="s">
        <v>60</v>
      </c>
      <c r="N9" s="92" t="s">
        <v>196</v>
      </c>
      <c r="O9" s="109"/>
      <c r="P9" s="109"/>
      <c r="Q9" s="109"/>
      <c r="R9" s="109"/>
    </row>
    <row r="10" spans="1:19" s="63" customFormat="1" ht="13.9">
      <c r="A10" s="171" t="s">
        <v>580</v>
      </c>
      <c r="B10" s="172"/>
      <c r="C10" s="173"/>
      <c r="D10" s="174" t="s">
        <v>199</v>
      </c>
      <c r="L10" s="109"/>
      <c r="M10" s="109" t="s">
        <v>62</v>
      </c>
      <c r="N10" s="109">
        <v>60</v>
      </c>
      <c r="O10" s="109"/>
      <c r="P10" s="109"/>
      <c r="Q10" s="109"/>
      <c r="R10" s="109"/>
    </row>
    <row r="11" spans="1:19" s="64" customFormat="1" ht="15">
      <c r="A11" s="175" t="s">
        <v>581</v>
      </c>
      <c r="B11" s="172"/>
      <c r="C11" s="176"/>
      <c r="D11" s="109"/>
      <c r="L11" s="109"/>
      <c r="M11" s="109"/>
      <c r="N11" s="109"/>
      <c r="O11" s="109"/>
      <c r="P11" s="109"/>
      <c r="Q11" s="109"/>
      <c r="R11" s="109"/>
    </row>
    <row r="12" spans="1:19" s="167" customFormat="1" ht="15">
      <c r="A12" s="177" t="s">
        <v>582</v>
      </c>
      <c r="B12" s="108"/>
      <c r="C12" s="109"/>
      <c r="D12" s="178" t="s">
        <v>204</v>
      </c>
      <c r="L12" s="50" t="s">
        <v>65</v>
      </c>
      <c r="M12" s="50" t="s">
        <v>583</v>
      </c>
      <c r="N12" s="50" t="s">
        <v>67</v>
      </c>
      <c r="O12" s="821" t="s">
        <v>68</v>
      </c>
      <c r="P12" s="821"/>
      <c r="Q12" s="821"/>
      <c r="R12" s="821"/>
      <c r="S12" s="821"/>
    </row>
    <row r="13" spans="1:19" s="63" customFormat="1" ht="27">
      <c r="A13" s="61" t="s">
        <v>584</v>
      </c>
      <c r="B13" s="179"/>
      <c r="C13" s="179"/>
      <c r="D13" s="179"/>
      <c r="E13" s="113" t="s">
        <v>585</v>
      </c>
      <c r="L13" s="211" t="s">
        <v>586</v>
      </c>
      <c r="M13" s="212">
        <v>15</v>
      </c>
      <c r="N13" s="213" t="s">
        <v>67</v>
      </c>
      <c r="O13" s="214" t="s">
        <v>587</v>
      </c>
      <c r="P13" s="215" t="s">
        <v>588</v>
      </c>
      <c r="Q13" s="215" t="s">
        <v>589</v>
      </c>
      <c r="R13" s="181" t="s">
        <v>590</v>
      </c>
      <c r="S13" s="219" t="s">
        <v>591</v>
      </c>
    </row>
    <row r="14" spans="1:19" s="168" customFormat="1" ht="13.9">
      <c r="A14" s="180" t="s">
        <v>587</v>
      </c>
      <c r="B14" s="83" t="s">
        <v>415</v>
      </c>
      <c r="C14" s="83" t="s">
        <v>592</v>
      </c>
      <c r="D14" s="181" t="s">
        <v>590</v>
      </c>
      <c r="E14" s="83" t="s">
        <v>591</v>
      </c>
      <c r="L14" s="216" t="s">
        <v>129</v>
      </c>
      <c r="M14" s="217">
        <v>24</v>
      </c>
      <c r="N14" s="218" t="s">
        <v>67</v>
      </c>
      <c r="O14" s="822" t="s">
        <v>129</v>
      </c>
      <c r="P14" s="823"/>
      <c r="Q14" s="823"/>
      <c r="R14" s="823"/>
      <c r="S14" s="823"/>
    </row>
    <row r="15" spans="1:19" s="168" customFormat="1" ht="13.9">
      <c r="A15" s="182"/>
      <c r="B15" s="183"/>
      <c r="C15" s="183"/>
      <c r="D15" s="183"/>
      <c r="E15" s="83"/>
      <c r="L15" s="182"/>
      <c r="M15" s="182"/>
      <c r="N15" s="182"/>
      <c r="O15" s="182"/>
      <c r="P15" s="182"/>
      <c r="Q15" s="182"/>
      <c r="R15" s="182"/>
      <c r="S15" s="182"/>
    </row>
    <row r="16" spans="1:19" s="168" customFormat="1" ht="13.9">
      <c r="A16" s="180" t="s">
        <v>593</v>
      </c>
      <c r="B16" s="184">
        <f>SUM(B14:B15)</f>
        <v>0</v>
      </c>
      <c r="C16" s="184"/>
      <c r="D16" s="184">
        <f>SUM(D14:D15)</f>
        <v>0</v>
      </c>
      <c r="E16" s="185"/>
    </row>
    <row r="17" spans="1:5" s="168" customFormat="1" ht="13.9">
      <c r="A17" s="186"/>
      <c r="B17" s="187"/>
      <c r="C17" s="187"/>
      <c r="D17" s="187"/>
      <c r="E17" s="188"/>
    </row>
    <row r="18" spans="1:5" s="168" customFormat="1" ht="14.25">
      <c r="A18" s="189" t="s">
        <v>594</v>
      </c>
      <c r="B18" s="187"/>
      <c r="C18" s="187"/>
      <c r="D18" s="190"/>
      <c r="E18" s="188"/>
    </row>
    <row r="19" spans="1:5" s="168" customFormat="1" ht="13.9">
      <c r="A19" s="191" t="s">
        <v>217</v>
      </c>
      <c r="B19" s="191" t="s">
        <v>105</v>
      </c>
      <c r="C19" s="191" t="s">
        <v>216</v>
      </c>
      <c r="D19" s="191" t="s">
        <v>123</v>
      </c>
      <c r="E19" s="191" t="s">
        <v>104</v>
      </c>
    </row>
    <row r="20" spans="1:5" s="168" customFormat="1" ht="13.9">
      <c r="A20" s="192"/>
      <c r="B20" s="193"/>
      <c r="C20" s="193"/>
      <c r="D20" s="194"/>
      <c r="E20" s="83"/>
    </row>
    <row r="21" spans="1:5" s="168" customFormat="1" ht="13.9">
      <c r="A21" s="180" t="s">
        <v>593</v>
      </c>
      <c r="B21" s="193"/>
      <c r="C21" s="193"/>
      <c r="D21" s="184">
        <f>SUM(D19:D20)</f>
        <v>0</v>
      </c>
      <c r="E21" s="83"/>
    </row>
    <row r="22" spans="1:5" s="168" customFormat="1" ht="13.9">
      <c r="A22" s="195"/>
      <c r="B22" s="187"/>
      <c r="C22" s="187"/>
      <c r="D22" s="190"/>
      <c r="E22" s="188"/>
    </row>
    <row r="23" spans="1:5" s="168" customFormat="1" ht="13.9">
      <c r="A23" s="824" t="s">
        <v>595</v>
      </c>
      <c r="B23" s="824"/>
      <c r="C23" s="824"/>
      <c r="D23" s="824"/>
      <c r="E23" s="824"/>
    </row>
    <row r="24" spans="1:5" s="168" customFormat="1" ht="13.9">
      <c r="A24" s="73" t="s">
        <v>596</v>
      </c>
      <c r="B24" s="825" t="s">
        <v>597</v>
      </c>
      <c r="C24" s="825"/>
      <c r="D24" s="825"/>
      <c r="E24" s="825"/>
    </row>
    <row r="25" spans="1:5" s="168" customFormat="1" ht="13.9">
      <c r="A25" s="73"/>
      <c r="B25" s="190"/>
      <c r="C25" s="190"/>
      <c r="D25" s="196"/>
      <c r="E25" s="188"/>
    </row>
    <row r="26" spans="1:5" s="168" customFormat="1" ht="14.25">
      <c r="A26" s="73" t="s">
        <v>598</v>
      </c>
      <c r="B26" s="190"/>
      <c r="C26" s="190"/>
      <c r="D26" s="196"/>
      <c r="E26" s="188"/>
    </row>
    <row r="27" spans="1:5" s="168" customFormat="1" ht="13.9">
      <c r="A27" s="197"/>
      <c r="B27" s="198"/>
      <c r="C27" s="198"/>
      <c r="D27" s="198"/>
      <c r="E27" s="199"/>
    </row>
    <row r="28" spans="1:5" s="168" customFormat="1" ht="13.9">
      <c r="A28" s="200"/>
      <c r="B28" s="201"/>
      <c r="C28" s="201"/>
      <c r="D28" s="201"/>
      <c r="E28" s="202"/>
    </row>
    <row r="29" spans="1:5" s="168" customFormat="1" ht="13.9">
      <c r="A29" s="826" t="s">
        <v>599</v>
      </c>
      <c r="B29" s="826"/>
      <c r="C29" s="826"/>
      <c r="D29" s="826"/>
      <c r="E29" s="826"/>
    </row>
    <row r="30" spans="1:5" s="63" customFormat="1" ht="13.9">
      <c r="A30" s="96"/>
      <c r="B30" s="80"/>
      <c r="C30" s="80"/>
      <c r="D30" s="80"/>
    </row>
    <row r="31" spans="1:5" s="63" customFormat="1" ht="13.9">
      <c r="C31" s="820" t="e">
        <f>INDEX(基本信息!B:B,MATCH(E4,基本信息!D:D,0))</f>
        <v>#N/A</v>
      </c>
      <c r="D31" s="820"/>
      <c r="E31" s="820"/>
    </row>
    <row r="32" spans="1:5" s="63" customFormat="1" ht="13.9"/>
    <row r="33" spans="1:5" s="63" customFormat="1" ht="13.9">
      <c r="D33" s="92" t="s">
        <v>600</v>
      </c>
    </row>
    <row r="34" spans="1:5" s="63" customFormat="1" ht="13.9">
      <c r="D34" s="97" t="s">
        <v>601</v>
      </c>
    </row>
    <row r="35" spans="1:5" s="63" customFormat="1" ht="13.9"/>
    <row r="36" spans="1:5" s="63" customFormat="1" ht="13.9">
      <c r="D36" s="63" t="s">
        <v>602</v>
      </c>
    </row>
    <row r="37" spans="1:5" s="63" customFormat="1" ht="13.9"/>
    <row r="38" spans="1:5" s="63" customFormat="1" ht="13.9">
      <c r="A38" s="203" t="s">
        <v>603</v>
      </c>
      <c r="B38" s="102"/>
      <c r="C38" s="607" t="s">
        <v>604</v>
      </c>
      <c r="D38" s="101"/>
      <c r="E38" s="102"/>
    </row>
    <row r="39" spans="1:5" s="63" customFormat="1" ht="13.9">
      <c r="A39" s="103"/>
      <c r="B39" s="204"/>
      <c r="C39" s="205"/>
      <c r="D39" s="206"/>
      <c r="E39" s="104"/>
    </row>
    <row r="40" spans="1:5" s="63" customFormat="1" ht="13.9">
      <c r="A40" s="103"/>
      <c r="B40" s="204"/>
      <c r="C40" s="205"/>
      <c r="D40" s="206"/>
      <c r="E40" s="104"/>
    </row>
    <row r="41" spans="1:5" s="63" customFormat="1" ht="13.9">
      <c r="A41" s="103"/>
      <c r="B41" s="204"/>
      <c r="C41" s="205"/>
      <c r="D41" s="206"/>
      <c r="E41" s="104"/>
    </row>
    <row r="42" spans="1:5" s="63" customFormat="1" ht="13.9">
      <c r="A42" s="103"/>
      <c r="B42" s="204"/>
      <c r="C42" s="205"/>
      <c r="D42" s="206"/>
      <c r="E42" s="104"/>
    </row>
    <row r="43" spans="1:5" s="63" customFormat="1" ht="13.9">
      <c r="A43" s="103"/>
      <c r="B43" s="204"/>
      <c r="C43" s="205"/>
      <c r="D43" s="206"/>
      <c r="E43" s="104"/>
    </row>
    <row r="44" spans="1:5" s="63" customFormat="1" ht="13.9">
      <c r="A44" s="103"/>
      <c r="B44" s="204"/>
      <c r="C44" s="205"/>
      <c r="D44" s="206"/>
      <c r="E44" s="104"/>
    </row>
    <row r="45" spans="1:5" s="63" customFormat="1" ht="13.9">
      <c r="A45" s="103"/>
      <c r="B45" s="204"/>
      <c r="C45" s="205"/>
      <c r="D45" s="206"/>
      <c r="E45" s="104"/>
    </row>
    <row r="46" spans="1:5" s="63" customFormat="1" ht="13.9">
      <c r="A46" s="207" t="s">
        <v>600</v>
      </c>
      <c r="B46" s="204"/>
      <c r="C46" s="205"/>
      <c r="D46" s="208" t="s">
        <v>600</v>
      </c>
      <c r="E46" s="104"/>
    </row>
    <row r="47" spans="1:5" s="63" customFormat="1" ht="13.9">
      <c r="A47" s="207" t="s">
        <v>605</v>
      </c>
      <c r="B47" s="204"/>
      <c r="C47" s="205"/>
      <c r="D47" s="208" t="s">
        <v>605</v>
      </c>
      <c r="E47" s="104"/>
    </row>
    <row r="48" spans="1:5" s="63" customFormat="1" ht="13.9">
      <c r="A48" s="207" t="s">
        <v>602</v>
      </c>
      <c r="B48" s="104"/>
      <c r="C48" s="103"/>
      <c r="D48" s="208" t="s">
        <v>602</v>
      </c>
      <c r="E48" s="104"/>
    </row>
    <row r="49" spans="1:5" s="63" customFormat="1" ht="13.9">
      <c r="A49" s="106"/>
      <c r="B49" s="107"/>
      <c r="C49" s="106"/>
      <c r="D49" s="70"/>
      <c r="E49" s="107"/>
    </row>
    <row r="50" spans="1:5" s="63" customFormat="1" ht="13.9"/>
    <row r="51" spans="1:5" s="63" customFormat="1" ht="13.9"/>
    <row r="52" spans="1:5" s="63" customFormat="1" ht="13.9"/>
  </sheetData>
  <mergeCells count="7">
    <mergeCell ref="C31:E31"/>
    <mergeCell ref="A5:E9"/>
    <mergeCell ref="O12:S12"/>
    <mergeCell ref="O14:S14"/>
    <mergeCell ref="A23:E23"/>
    <mergeCell ref="B24:E24"/>
    <mergeCell ref="A29:E29"/>
  </mergeCells>
  <phoneticPr fontId="98" type="noConversion"/>
  <pageMargins left="0.7" right="0.7" top="0.75" bottom="0.75" header="0.3" footer="0.3"/>
  <pageSetup paperSize="9" scale="81" fitToHeight="0"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8"/>
  <dimension ref="A1:T33"/>
  <sheetViews>
    <sheetView view="pageBreakPreview" zoomScale="60" zoomScaleNormal="100" workbookViewId="0">
      <selection activeCell="I18" sqref="I18"/>
    </sheetView>
  </sheetViews>
  <sheetFormatPr defaultColWidth="10" defaultRowHeight="12.75"/>
  <cols>
    <col min="1" max="1" width="19.06640625" style="121" customWidth="1"/>
    <col min="2" max="2" width="19.33203125" style="121" customWidth="1"/>
    <col min="3" max="3" width="15.46484375" style="121" customWidth="1"/>
    <col min="4" max="7" width="13.33203125" style="121" customWidth="1"/>
    <col min="8" max="8" width="10" style="121"/>
    <col min="9" max="9" width="10.265625" style="121" customWidth="1"/>
    <col min="10" max="11" width="10" style="121"/>
    <col min="12" max="12" width="20" style="121" customWidth="1"/>
    <col min="13" max="16384" width="10" style="121"/>
  </cols>
  <sheetData>
    <row r="1" spans="1:20" ht="45" customHeight="1">
      <c r="A1" s="122"/>
      <c r="B1" s="122"/>
      <c r="C1" s="122"/>
      <c r="D1" s="122"/>
      <c r="E1" s="122"/>
      <c r="F1" s="122"/>
      <c r="G1" s="123"/>
      <c r="I1" s="68"/>
    </row>
    <row r="2" spans="1:20" ht="19.05" customHeight="1">
      <c r="A2" s="831" t="s">
        <v>606</v>
      </c>
      <c r="B2" s="832"/>
      <c r="C2" s="832"/>
      <c r="D2" s="832"/>
      <c r="E2" s="832"/>
      <c r="F2" s="832"/>
      <c r="G2" s="832"/>
      <c r="I2" s="68"/>
      <c r="L2" s="160" t="s">
        <v>188</v>
      </c>
      <c r="M2" s="161"/>
    </row>
    <row r="3" spans="1:20" ht="19.05" customHeight="1">
      <c r="A3" s="124"/>
      <c r="C3" s="125"/>
      <c r="E3" s="125" t="s">
        <v>235</v>
      </c>
      <c r="F3" s="121" t="s">
        <v>607</v>
      </c>
      <c r="I3" s="68" t="str">
        <f>HYPERLINK("#基本信息!I1","返回基本信息")</f>
        <v>返回基本信息</v>
      </c>
      <c r="L3" s="161" t="s">
        <v>51</v>
      </c>
      <c r="M3" s="161" t="s">
        <v>52</v>
      </c>
    </row>
    <row r="4" spans="1:20" ht="19.05" customHeight="1">
      <c r="A4" s="126" t="e">
        <f>"致:"&amp;INDEX(基本信息!C:C,MATCH(F3,基本信息!D:D,0))</f>
        <v>#N/A</v>
      </c>
      <c r="I4" s="68" t="str">
        <f>HYPERLINK("#操作平台!A3","返回操作平台")</f>
        <v>返回操作平台</v>
      </c>
      <c r="L4" s="161" t="s">
        <v>53</v>
      </c>
      <c r="M4" s="161" t="s">
        <v>389</v>
      </c>
    </row>
    <row r="5" spans="1:20" ht="19.05" customHeight="1">
      <c r="I5" s="119" t="str">
        <f>HYPERLINK("#使用说明!B2","返回模板池")</f>
        <v>返回模板池</v>
      </c>
      <c r="L5" s="161" t="s">
        <v>55</v>
      </c>
      <c r="M5" s="161" t="s">
        <v>56</v>
      </c>
    </row>
    <row r="6" spans="1:20" ht="19.05" customHeight="1">
      <c r="A6" s="830" t="s">
        <v>608</v>
      </c>
      <c r="B6" s="830"/>
      <c r="C6" s="830"/>
      <c r="D6" s="830"/>
      <c r="E6" s="830"/>
      <c r="F6" s="830"/>
      <c r="G6" s="830"/>
      <c r="I6" s="61"/>
      <c r="L6" s="161" t="s">
        <v>57</v>
      </c>
      <c r="M6" s="161" t="s">
        <v>533</v>
      </c>
    </row>
    <row r="7" spans="1:20" ht="19.05" customHeight="1">
      <c r="A7" s="830"/>
      <c r="B7" s="830"/>
      <c r="C7" s="830"/>
      <c r="D7" s="830"/>
      <c r="E7" s="830"/>
      <c r="F7" s="830"/>
      <c r="G7" s="830"/>
      <c r="I7" s="74"/>
      <c r="L7" s="161" t="s">
        <v>59</v>
      </c>
      <c r="M7" s="160" t="s">
        <v>5</v>
      </c>
    </row>
    <row r="8" spans="1:20" ht="19.05" customHeight="1">
      <c r="A8" s="830"/>
      <c r="B8" s="830"/>
      <c r="C8" s="830"/>
      <c r="D8" s="830"/>
      <c r="E8" s="830"/>
      <c r="F8" s="830"/>
      <c r="G8" s="830"/>
      <c r="I8" s="162"/>
      <c r="L8" s="161"/>
      <c r="M8" s="161"/>
    </row>
    <row r="9" spans="1:20" s="120" customFormat="1" ht="19.05" customHeight="1">
      <c r="A9" s="833" t="s">
        <v>609</v>
      </c>
      <c r="B9" s="834"/>
      <c r="C9" s="834"/>
      <c r="D9" s="834"/>
      <c r="E9" s="834"/>
      <c r="F9" s="834"/>
      <c r="G9" s="834"/>
      <c r="L9" s="120" t="s">
        <v>65</v>
      </c>
      <c r="M9" s="163" t="s">
        <v>583</v>
      </c>
      <c r="N9" s="835" t="s">
        <v>610</v>
      </c>
      <c r="O9" s="835"/>
      <c r="P9" s="835"/>
      <c r="Q9" s="835"/>
      <c r="R9" s="835"/>
      <c r="S9" s="835"/>
      <c r="T9" s="835"/>
    </row>
    <row r="10" spans="1:20" ht="19.05" customHeight="1">
      <c r="A10" s="121" t="s">
        <v>611</v>
      </c>
      <c r="B10" s="128"/>
      <c r="C10" s="127"/>
      <c r="L10" s="163" t="s">
        <v>612</v>
      </c>
      <c r="M10" s="163">
        <v>13</v>
      </c>
      <c r="N10" s="164" t="s">
        <v>613</v>
      </c>
      <c r="O10" s="164" t="s">
        <v>614</v>
      </c>
      <c r="P10" s="164" t="s">
        <v>615</v>
      </c>
      <c r="Q10" s="164" t="s">
        <v>616</v>
      </c>
      <c r="R10" s="164" t="s">
        <v>617</v>
      </c>
      <c r="S10" s="164" t="s">
        <v>618</v>
      </c>
      <c r="T10" s="164" t="s">
        <v>78</v>
      </c>
    </row>
    <row r="11" spans="1:20" ht="19.05" customHeight="1">
      <c r="A11" s="129" t="s">
        <v>619</v>
      </c>
      <c r="G11" s="130" t="s">
        <v>620</v>
      </c>
      <c r="L11" s="163" t="s">
        <v>129</v>
      </c>
      <c r="M11" s="121">
        <v>16</v>
      </c>
      <c r="N11" s="836" t="s">
        <v>129</v>
      </c>
      <c r="O11" s="837"/>
      <c r="P11" s="837"/>
      <c r="Q11" s="837"/>
      <c r="R11" s="837"/>
      <c r="S11" s="837"/>
      <c r="T11" s="837"/>
    </row>
    <row r="12" spans="1:20" ht="19.05" customHeight="1">
      <c r="A12" s="131" t="s">
        <v>613</v>
      </c>
      <c r="B12" s="132" t="s">
        <v>614</v>
      </c>
      <c r="C12" s="131" t="s">
        <v>615</v>
      </c>
      <c r="D12" s="131" t="s">
        <v>616</v>
      </c>
      <c r="E12" s="131" t="s">
        <v>617</v>
      </c>
      <c r="F12" s="131" t="s">
        <v>618</v>
      </c>
      <c r="G12" s="131" t="s">
        <v>78</v>
      </c>
    </row>
    <row r="13" spans="1:20" ht="19.05" customHeight="1">
      <c r="A13" s="133"/>
      <c r="B13" s="134"/>
      <c r="C13" s="135"/>
      <c r="D13" s="136"/>
      <c r="E13" s="137"/>
      <c r="F13" s="138"/>
      <c r="G13" s="139"/>
    </row>
    <row r="14" spans="1:20" ht="19.05" customHeight="1">
      <c r="A14" s="140"/>
      <c r="B14" s="140"/>
      <c r="C14" s="140"/>
      <c r="D14" s="140"/>
      <c r="E14" s="140"/>
      <c r="F14" s="140"/>
      <c r="G14" s="140"/>
    </row>
    <row r="15" spans="1:20" ht="19.05" customHeight="1">
      <c r="A15" s="129" t="s">
        <v>621</v>
      </c>
    </row>
    <row r="16" spans="1:20" ht="19.05" customHeight="1">
      <c r="A16" s="838"/>
      <c r="B16" s="839"/>
      <c r="C16" s="839"/>
      <c r="D16" s="839"/>
      <c r="E16" s="839"/>
      <c r="F16" s="839"/>
      <c r="G16" s="840"/>
    </row>
    <row r="17" spans="1:11" ht="19.05" customHeight="1">
      <c r="A17" s="121" t="s">
        <v>622</v>
      </c>
    </row>
    <row r="18" spans="1:11" ht="19.05" customHeight="1"/>
    <row r="19" spans="1:11" ht="19.05" customHeight="1"/>
    <row r="20" spans="1:11" ht="19.05" customHeight="1"/>
    <row r="21" spans="1:11" ht="19.05" customHeight="1"/>
    <row r="22" spans="1:11" ht="19.05" customHeight="1">
      <c r="C22" s="827" t="e">
        <f>INDEX(基本信息!B:B,MATCH(有价证券函证模板!F3,基本信息!D:D,0))</f>
        <v>#N/A</v>
      </c>
      <c r="D22" s="827"/>
      <c r="E22" s="827"/>
      <c r="F22" s="827"/>
      <c r="G22" s="827"/>
    </row>
    <row r="23" spans="1:11" ht="19.05" customHeight="1">
      <c r="C23" s="141"/>
      <c r="D23" s="141"/>
      <c r="E23" s="142">
        <v>43481</v>
      </c>
      <c r="F23" s="142"/>
      <c r="G23" s="141"/>
      <c r="I23" s="165"/>
    </row>
    <row r="24" spans="1:11" ht="19.05" customHeight="1">
      <c r="A24" s="143" t="s">
        <v>623</v>
      </c>
      <c r="B24" s="144"/>
      <c r="C24" s="144"/>
      <c r="D24" s="144"/>
      <c r="E24" s="144"/>
      <c r="F24" s="144"/>
      <c r="G24" s="144"/>
      <c r="K24" s="166"/>
    </row>
    <row r="25" spans="1:11" ht="19.05" customHeight="1">
      <c r="A25" s="145" t="s">
        <v>624</v>
      </c>
      <c r="B25" s="146"/>
      <c r="C25" s="147"/>
      <c r="D25" s="828" t="s">
        <v>625</v>
      </c>
      <c r="E25" s="828"/>
      <c r="F25" s="828"/>
      <c r="G25" s="829"/>
    </row>
    <row r="26" spans="1:11" ht="19.05" customHeight="1">
      <c r="A26" s="148"/>
      <c r="B26" s="144"/>
      <c r="C26" s="149"/>
      <c r="D26" s="150"/>
      <c r="E26" s="150"/>
      <c r="F26" s="150"/>
      <c r="G26" s="151"/>
    </row>
    <row r="27" spans="1:11" ht="19.05" customHeight="1">
      <c r="A27" s="148"/>
      <c r="B27" s="144"/>
      <c r="C27" s="149"/>
      <c r="D27" s="150"/>
      <c r="E27" s="150"/>
      <c r="F27" s="150"/>
      <c r="G27" s="151"/>
    </row>
    <row r="28" spans="1:11" ht="19.05" customHeight="1">
      <c r="A28" s="148"/>
      <c r="B28" s="144"/>
      <c r="C28" s="152"/>
      <c r="D28" s="144"/>
      <c r="E28" s="144"/>
      <c r="F28" s="144"/>
      <c r="G28" s="151"/>
    </row>
    <row r="29" spans="1:11" ht="19.05" customHeight="1">
      <c r="A29" s="148"/>
      <c r="B29" s="144"/>
      <c r="C29" s="152"/>
      <c r="D29" s="144"/>
      <c r="E29" s="144"/>
      <c r="F29" s="144"/>
      <c r="G29" s="151"/>
    </row>
    <row r="30" spans="1:11" ht="19.05" customHeight="1">
      <c r="A30" s="153" t="s">
        <v>626</v>
      </c>
      <c r="B30" s="144"/>
      <c r="C30" s="154"/>
      <c r="D30" s="144"/>
      <c r="E30" s="144"/>
      <c r="F30" s="144"/>
      <c r="G30" s="151"/>
    </row>
    <row r="31" spans="1:11" ht="19.05" customHeight="1">
      <c r="A31" s="148"/>
      <c r="B31" s="155"/>
      <c r="C31" s="151"/>
      <c r="D31" s="144"/>
      <c r="E31" s="144"/>
      <c r="F31" s="144"/>
      <c r="G31" s="151"/>
    </row>
    <row r="32" spans="1:11" ht="19.05" customHeight="1">
      <c r="A32" s="153" t="s">
        <v>298</v>
      </c>
      <c r="B32" s="155"/>
      <c r="C32" s="154"/>
      <c r="D32" s="144" t="s">
        <v>298</v>
      </c>
      <c r="E32" s="144"/>
      <c r="F32" s="144"/>
      <c r="G32" s="151"/>
    </row>
    <row r="33" spans="1:7" ht="19.05" customHeight="1">
      <c r="A33" s="156" t="s">
        <v>627</v>
      </c>
      <c r="B33" s="157"/>
      <c r="C33" s="158"/>
      <c r="D33" s="157" t="s">
        <v>628</v>
      </c>
      <c r="E33" s="157"/>
      <c r="F33" s="157"/>
      <c r="G33" s="159"/>
    </row>
  </sheetData>
  <mergeCells count="8">
    <mergeCell ref="N9:T9"/>
    <mergeCell ref="N11:T11"/>
    <mergeCell ref="A16:G16"/>
    <mergeCell ref="C22:G22"/>
    <mergeCell ref="D25:G25"/>
    <mergeCell ref="A6:G8"/>
    <mergeCell ref="A2:G2"/>
    <mergeCell ref="A9:G9"/>
  </mergeCells>
  <phoneticPr fontId="98" type="noConversion"/>
  <pageMargins left="0.7" right="0.7" top="0.75" bottom="0.75" header="0.3" footer="0.3"/>
  <pageSetup paperSize="9" scale="7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
  <dimension ref="A1:M1"/>
  <sheetViews>
    <sheetView workbookViewId="0">
      <selection activeCell="D7" sqref="D7"/>
    </sheetView>
  </sheetViews>
  <sheetFormatPr defaultColWidth="8.59765625" defaultRowHeight="12.75"/>
  <cols>
    <col min="1" max="1" width="14.33203125" style="115" customWidth="1"/>
    <col min="2" max="3" width="8.59765625" style="115"/>
    <col min="4" max="4" width="9.46484375" style="115" customWidth="1"/>
    <col min="5" max="5" width="11.73046875" style="115" customWidth="1"/>
    <col min="6" max="6" width="11.265625" style="115" customWidth="1"/>
    <col min="7" max="16384" width="8.59765625" style="115"/>
  </cols>
  <sheetData>
    <row r="1" spans="1:13" ht="13.05" customHeight="1">
      <c r="A1" s="116"/>
      <c r="B1" s="117"/>
      <c r="C1" s="118"/>
      <c r="D1" s="118"/>
      <c r="E1" s="118"/>
      <c r="F1" s="119" t="str">
        <f>HYPERLINK("#基本信息!I1","返回基本信息")</f>
        <v>返回基本信息</v>
      </c>
      <c r="G1" s="118"/>
      <c r="H1" s="119" t="str">
        <f>HYPERLINK("#操作平台!A3","返回操作平台")</f>
        <v>返回操作平台</v>
      </c>
      <c r="I1" s="118"/>
      <c r="J1" s="118"/>
      <c r="K1" s="118"/>
      <c r="L1" s="118"/>
      <c r="M1" s="118"/>
    </row>
  </sheetData>
  <phoneticPr fontId="98" type="noConversion"/>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S57"/>
  <sheetViews>
    <sheetView view="pageBreakPreview" zoomScale="60" zoomScaleNormal="100" workbookViewId="0">
      <selection activeCell="H3" sqref="H3"/>
    </sheetView>
  </sheetViews>
  <sheetFormatPr defaultColWidth="8.265625" defaultRowHeight="15.4"/>
  <cols>
    <col min="1" max="1" width="42.796875" style="65" customWidth="1"/>
    <col min="2" max="4" width="14.59765625" style="65" customWidth="1"/>
    <col min="5" max="5" width="20.73046875" style="65" customWidth="1"/>
    <col min="6" max="18" width="8.265625" style="65"/>
    <col min="19" max="19" width="32.59765625" style="65" customWidth="1"/>
    <col min="20" max="16384" width="8.265625" style="65"/>
  </cols>
  <sheetData>
    <row r="1" spans="1:19" ht="74.2" customHeight="1">
      <c r="A1" s="66"/>
      <c r="B1" s="66"/>
      <c r="C1" s="66"/>
      <c r="D1" s="66"/>
      <c r="E1" s="67"/>
    </row>
    <row r="2" spans="1:19" ht="20.25">
      <c r="A2" s="66" t="s">
        <v>578</v>
      </c>
      <c r="B2" s="66"/>
      <c r="C2" s="66"/>
      <c r="D2" s="66"/>
      <c r="E2" s="66"/>
      <c r="H2" s="68" t="str">
        <f>HYPERLINK("#基本信息!I1","返回基本信息")</f>
        <v>返回基本信息</v>
      </c>
      <c r="O2" s="108" t="s">
        <v>188</v>
      </c>
      <c r="P2" s="109"/>
    </row>
    <row r="3" spans="1:19">
      <c r="A3" s="63"/>
      <c r="B3" s="63"/>
      <c r="C3" s="63"/>
      <c r="D3" s="69" t="s">
        <v>234</v>
      </c>
      <c r="E3" s="69"/>
      <c r="H3" s="68" t="str">
        <f>HYPERLINK("#操作平台!A3","返回操作平台")</f>
        <v>返回操作平台</v>
      </c>
      <c r="L3" s="109"/>
      <c r="O3" s="109"/>
      <c r="P3" s="109"/>
      <c r="Q3" s="109"/>
      <c r="R3" s="109"/>
      <c r="S3" s="109"/>
    </row>
    <row r="4" spans="1:19">
      <c r="A4" s="70" t="e">
        <f>"致："&amp;INDEX(基本信息!C:C,MATCH(三年一期工程项目模板!E4,基本信息!D:D,0))</f>
        <v>#N/A</v>
      </c>
      <c r="B4" s="63"/>
      <c r="C4" s="63"/>
      <c r="D4" s="69" t="s">
        <v>235</v>
      </c>
      <c r="E4" s="71" t="s">
        <v>629</v>
      </c>
      <c r="H4" s="72" t="str">
        <f>HYPERLINK("#使用说明!B2","返回模板池")</f>
        <v>返回模板池</v>
      </c>
      <c r="I4" s="61"/>
      <c r="L4" s="109"/>
      <c r="O4" s="110" t="s">
        <v>51</v>
      </c>
      <c r="P4" s="111" t="s">
        <v>56</v>
      </c>
      <c r="Q4" s="109"/>
      <c r="R4" s="109"/>
      <c r="S4" s="109"/>
    </row>
    <row r="5" spans="1:19" s="61" customFormat="1" ht="13.15">
      <c r="A5" s="824" t="s">
        <v>630</v>
      </c>
      <c r="B5" s="824"/>
      <c r="C5" s="824"/>
      <c r="D5" s="824"/>
      <c r="E5" s="824"/>
      <c r="L5" s="109"/>
      <c r="O5" s="110" t="s">
        <v>53</v>
      </c>
      <c r="P5" s="111" t="s">
        <v>193</v>
      </c>
      <c r="Q5" s="109"/>
      <c r="R5" s="109"/>
      <c r="S5" s="109"/>
    </row>
    <row r="6" spans="1:19" s="62" customFormat="1">
      <c r="A6" s="824"/>
      <c r="B6" s="824"/>
      <c r="C6" s="824"/>
      <c r="D6" s="824"/>
      <c r="E6" s="824"/>
      <c r="H6" s="74"/>
      <c r="L6" s="109"/>
      <c r="O6" s="110" t="s">
        <v>55</v>
      </c>
      <c r="P6" s="111" t="s">
        <v>191</v>
      </c>
      <c r="Q6" s="109"/>
      <c r="R6" s="109"/>
      <c r="S6" s="109"/>
    </row>
    <row r="7" spans="1:19" s="62" customFormat="1">
      <c r="A7" s="824"/>
      <c r="B7" s="824"/>
      <c r="C7" s="824"/>
      <c r="D7" s="824"/>
      <c r="E7" s="824"/>
      <c r="H7" s="74"/>
      <c r="L7" s="109"/>
      <c r="O7" s="110" t="s">
        <v>57</v>
      </c>
      <c r="P7" s="111" t="s">
        <v>195</v>
      </c>
      <c r="Q7" s="109"/>
      <c r="R7" s="109"/>
      <c r="S7" s="109"/>
    </row>
    <row r="8" spans="1:19" s="62" customFormat="1" ht="11.25" customHeight="1">
      <c r="A8" s="824"/>
      <c r="B8" s="824"/>
      <c r="C8" s="824"/>
      <c r="D8" s="824"/>
      <c r="E8" s="824"/>
      <c r="L8" s="109"/>
      <c r="O8" s="110" t="s">
        <v>59</v>
      </c>
      <c r="P8" s="112" t="s">
        <v>24</v>
      </c>
      <c r="Q8" s="109"/>
      <c r="R8" s="109"/>
      <c r="S8" s="109"/>
    </row>
    <row r="9" spans="1:19" s="62" customFormat="1" ht="13.9">
      <c r="A9" s="824"/>
      <c r="B9" s="824"/>
      <c r="C9" s="824"/>
      <c r="D9" s="824"/>
      <c r="E9" s="824"/>
      <c r="L9" s="109"/>
      <c r="O9" s="109" t="s">
        <v>60</v>
      </c>
      <c r="P9" s="113" t="s">
        <v>196</v>
      </c>
      <c r="Q9" s="109"/>
      <c r="R9" s="109"/>
      <c r="S9" s="109"/>
    </row>
    <row r="10" spans="1:19" s="63" customFormat="1" ht="13.9">
      <c r="A10" s="75" t="s">
        <v>631</v>
      </c>
      <c r="B10" s="76"/>
      <c r="C10" s="76"/>
      <c r="D10" s="77"/>
      <c r="L10" s="109"/>
      <c r="O10" s="109" t="s">
        <v>62</v>
      </c>
      <c r="P10" s="113">
        <v>60</v>
      </c>
      <c r="Q10" s="109"/>
      <c r="R10" s="109"/>
      <c r="S10" s="109"/>
    </row>
    <row r="11" spans="1:19" s="64" customFormat="1" ht="15">
      <c r="A11" s="75" t="s">
        <v>632</v>
      </c>
      <c r="C11" s="76"/>
      <c r="D11" s="78" t="s">
        <v>199</v>
      </c>
      <c r="E11" s="79"/>
      <c r="L11" s="109"/>
      <c r="O11" s="109"/>
      <c r="P11" s="109"/>
      <c r="Q11" s="109"/>
      <c r="R11" s="109"/>
      <c r="S11" s="109"/>
    </row>
    <row r="12" spans="1:19" s="64" customFormat="1" ht="15">
      <c r="A12" s="75" t="s">
        <v>633</v>
      </c>
      <c r="C12" s="76" t="s">
        <v>634</v>
      </c>
      <c r="D12" s="78" t="s">
        <v>635</v>
      </c>
      <c r="E12" s="79"/>
      <c r="L12" s="109" t="s">
        <v>65</v>
      </c>
      <c r="M12" s="109" t="s">
        <v>583</v>
      </c>
      <c r="N12" s="109" t="s">
        <v>67</v>
      </c>
      <c r="O12" s="109" t="s">
        <v>68</v>
      </c>
      <c r="P12" s="109"/>
      <c r="Q12" s="109"/>
      <c r="R12" s="109"/>
      <c r="S12" s="109"/>
    </row>
    <row r="13" spans="1:19" s="63" customFormat="1" ht="27">
      <c r="A13" s="62" t="s">
        <v>636</v>
      </c>
      <c r="B13" s="80"/>
      <c r="C13" s="80"/>
      <c r="D13" s="80"/>
      <c r="E13" s="81" t="s">
        <v>637</v>
      </c>
      <c r="L13" s="98" t="s">
        <v>638</v>
      </c>
      <c r="M13" s="63">
        <v>15</v>
      </c>
      <c r="N13" s="114" t="s">
        <v>67</v>
      </c>
      <c r="O13" s="82" t="s">
        <v>587</v>
      </c>
      <c r="P13" s="83" t="s">
        <v>588</v>
      </c>
      <c r="Q13" s="83" t="s">
        <v>589</v>
      </c>
      <c r="R13" s="83" t="s">
        <v>639</v>
      </c>
      <c r="S13" s="83" t="s">
        <v>640</v>
      </c>
    </row>
    <row r="14" spans="1:19" s="63" customFormat="1" ht="27">
      <c r="A14" s="82" t="s">
        <v>587</v>
      </c>
      <c r="B14" s="83" t="s">
        <v>588</v>
      </c>
      <c r="C14" s="83" t="s">
        <v>589</v>
      </c>
      <c r="D14" s="83" t="s">
        <v>639</v>
      </c>
      <c r="E14" s="83" t="s">
        <v>640</v>
      </c>
      <c r="L14" s="98" t="s">
        <v>641</v>
      </c>
      <c r="M14" s="63">
        <v>21</v>
      </c>
      <c r="N14" s="114" t="s">
        <v>67</v>
      </c>
      <c r="O14" s="82" t="s">
        <v>587</v>
      </c>
      <c r="P14" s="83" t="s">
        <v>588</v>
      </c>
      <c r="Q14" s="83" t="s">
        <v>589</v>
      </c>
      <c r="R14" s="83" t="s">
        <v>639</v>
      </c>
      <c r="S14" s="83" t="s">
        <v>640</v>
      </c>
    </row>
    <row r="15" spans="1:19" s="63" customFormat="1" ht="27">
      <c r="A15" s="84"/>
      <c r="B15" s="85"/>
      <c r="C15" s="86"/>
      <c r="D15" s="85"/>
      <c r="E15" s="87"/>
      <c r="L15" s="98" t="s">
        <v>642</v>
      </c>
      <c r="M15" s="63">
        <v>27</v>
      </c>
      <c r="N15" s="114" t="s">
        <v>67</v>
      </c>
      <c r="O15" s="82" t="s">
        <v>587</v>
      </c>
      <c r="P15" s="83" t="s">
        <v>588</v>
      </c>
      <c r="Q15" s="83" t="s">
        <v>589</v>
      </c>
      <c r="R15" s="83" t="s">
        <v>639</v>
      </c>
      <c r="S15" s="83" t="s">
        <v>640</v>
      </c>
    </row>
    <row r="16" spans="1:19" s="63" customFormat="1" ht="13.9">
      <c r="A16" s="82" t="s">
        <v>593</v>
      </c>
      <c r="B16" s="88">
        <f>SUM(B14:B15)</f>
        <v>0</v>
      </c>
      <c r="C16" s="88"/>
      <c r="D16" s="88">
        <f>SUM(D14:D15)</f>
        <v>0</v>
      </c>
      <c r="E16" s="89"/>
      <c r="L16" s="98" t="s">
        <v>643</v>
      </c>
      <c r="M16" s="63">
        <v>34</v>
      </c>
      <c r="N16" s="114" t="s">
        <v>67</v>
      </c>
      <c r="O16" s="841"/>
      <c r="P16" s="842"/>
      <c r="Q16" s="842"/>
      <c r="R16" s="842"/>
      <c r="S16" s="843"/>
    </row>
    <row r="17" spans="1:5" s="63" customFormat="1" ht="13.9">
      <c r="A17" s="90" t="s">
        <v>644</v>
      </c>
      <c r="B17" s="91"/>
      <c r="C17" s="91"/>
      <c r="D17" s="91"/>
      <c r="E17" s="92"/>
    </row>
    <row r="18" spans="1:5" s="63" customFormat="1" ht="13.9">
      <c r="A18" s="93"/>
      <c r="B18" s="91"/>
      <c r="C18" s="91"/>
      <c r="D18" s="94"/>
      <c r="E18" s="92"/>
    </row>
    <row r="19" spans="1:5" s="63" customFormat="1" ht="13.9">
      <c r="A19" s="62" t="s">
        <v>645</v>
      </c>
      <c r="B19" s="80"/>
      <c r="C19" s="80"/>
      <c r="D19" s="80"/>
      <c r="E19" s="81" t="s">
        <v>637</v>
      </c>
    </row>
    <row r="20" spans="1:5" s="63" customFormat="1" ht="13.9">
      <c r="A20" s="82" t="s">
        <v>587</v>
      </c>
      <c r="B20" s="83" t="s">
        <v>588</v>
      </c>
      <c r="C20" s="83" t="s">
        <v>589</v>
      </c>
      <c r="D20" s="83" t="s">
        <v>639</v>
      </c>
      <c r="E20" s="83" t="s">
        <v>640</v>
      </c>
    </row>
    <row r="21" spans="1:5" s="63" customFormat="1" ht="13.9">
      <c r="A21" s="84"/>
      <c r="B21" s="85"/>
      <c r="C21" s="86"/>
      <c r="D21" s="85"/>
      <c r="E21" s="87"/>
    </row>
    <row r="22" spans="1:5" s="63" customFormat="1" ht="13.9">
      <c r="A22" s="82" t="s">
        <v>593</v>
      </c>
      <c r="B22" s="88">
        <f>SUM(B20:B21)</f>
        <v>0</v>
      </c>
      <c r="C22" s="88"/>
      <c r="D22" s="88">
        <f>SUM(D20:D21)</f>
        <v>0</v>
      </c>
      <c r="E22" s="89"/>
    </row>
    <row r="23" spans="1:5" s="63" customFormat="1" ht="13.9">
      <c r="A23" s="90" t="s">
        <v>644</v>
      </c>
      <c r="B23" s="91"/>
      <c r="C23" s="91"/>
      <c r="D23" s="91"/>
      <c r="E23" s="92"/>
    </row>
    <row r="24" spans="1:5" s="63" customFormat="1" ht="13.9">
      <c r="A24" s="90"/>
      <c r="B24" s="91"/>
      <c r="C24" s="91"/>
      <c r="D24" s="91"/>
      <c r="E24" s="92"/>
    </row>
    <row r="25" spans="1:5" s="63" customFormat="1" ht="13.9">
      <c r="A25" s="62" t="s">
        <v>646</v>
      </c>
      <c r="B25" s="80"/>
      <c r="C25" s="80"/>
      <c r="D25" s="80"/>
      <c r="E25" s="81" t="s">
        <v>637</v>
      </c>
    </row>
    <row r="26" spans="1:5" s="63" customFormat="1" ht="13.9">
      <c r="A26" s="82" t="s">
        <v>587</v>
      </c>
      <c r="B26" s="83" t="s">
        <v>588</v>
      </c>
      <c r="C26" s="83" t="s">
        <v>589</v>
      </c>
      <c r="D26" s="83" t="s">
        <v>639</v>
      </c>
      <c r="E26" s="83" t="s">
        <v>640</v>
      </c>
    </row>
    <row r="27" spans="1:5" s="63" customFormat="1" ht="13.9">
      <c r="A27" s="84"/>
      <c r="B27" s="85"/>
      <c r="C27" s="86"/>
      <c r="D27" s="85"/>
      <c r="E27" s="87"/>
    </row>
    <row r="28" spans="1:5" s="63" customFormat="1" ht="13.9">
      <c r="A28" s="82" t="s">
        <v>593</v>
      </c>
      <c r="B28" s="88">
        <f>SUM(B26:B27)</f>
        <v>0</v>
      </c>
      <c r="C28" s="88"/>
      <c r="D28" s="88">
        <f>SUM(D26:D27)</f>
        <v>0</v>
      </c>
      <c r="E28" s="89"/>
    </row>
    <row r="29" spans="1:5" s="63" customFormat="1" ht="13.9">
      <c r="A29" s="90" t="s">
        <v>644</v>
      </c>
      <c r="B29" s="91"/>
      <c r="C29" s="91"/>
      <c r="D29" s="91"/>
      <c r="E29" s="92"/>
    </row>
    <row r="30" spans="1:5" s="63" customFormat="1" ht="13.9">
      <c r="A30" s="62" t="s">
        <v>647</v>
      </c>
      <c r="B30" s="95"/>
      <c r="C30" s="95"/>
      <c r="D30" s="95"/>
      <c r="E30" s="92"/>
    </row>
    <row r="31" spans="1:5" s="63" customFormat="1" ht="20" customHeight="1">
      <c r="A31" s="71" t="s">
        <v>648</v>
      </c>
      <c r="C31" s="94" t="s">
        <v>597</v>
      </c>
      <c r="D31" s="95"/>
      <c r="E31" s="92"/>
    </row>
    <row r="32" spans="1:5" s="63" customFormat="1" ht="13.9">
      <c r="A32" s="62"/>
      <c r="B32" s="94"/>
      <c r="C32" s="94"/>
      <c r="D32" s="95"/>
      <c r="E32" s="92"/>
    </row>
    <row r="33" spans="1:5" s="63" customFormat="1" ht="13.9">
      <c r="A33" s="62" t="s">
        <v>649</v>
      </c>
      <c r="B33" s="94"/>
      <c r="C33" s="94"/>
      <c r="D33" s="95"/>
      <c r="E33" s="92"/>
    </row>
    <row r="34" spans="1:5" s="63" customFormat="1" ht="24" customHeight="1">
      <c r="A34" s="841"/>
      <c r="B34" s="842"/>
      <c r="C34" s="842"/>
      <c r="D34" s="842"/>
      <c r="E34" s="843"/>
    </row>
    <row r="35" spans="1:5" s="63" customFormat="1" ht="13.9">
      <c r="A35" s="62"/>
      <c r="B35" s="94"/>
      <c r="C35" s="94"/>
      <c r="D35" s="95"/>
      <c r="E35" s="92"/>
    </row>
    <row r="36" spans="1:5" s="63" customFormat="1" ht="13.9">
      <c r="A36" s="71" t="s">
        <v>650</v>
      </c>
      <c r="B36" s="80"/>
      <c r="C36" s="80"/>
      <c r="D36" s="80"/>
    </row>
    <row r="37" spans="1:5" s="63" customFormat="1" ht="13.9">
      <c r="A37" s="96"/>
      <c r="B37" s="80"/>
      <c r="C37" s="80"/>
      <c r="D37" s="80"/>
    </row>
    <row r="38" spans="1:5" s="63" customFormat="1" ht="13.9">
      <c r="B38" s="820" t="e">
        <v>#N/A</v>
      </c>
      <c r="C38" s="820"/>
      <c r="D38" s="820"/>
      <c r="E38" s="820"/>
    </row>
    <row r="39" spans="1:5" s="63" customFormat="1" ht="13.9"/>
    <row r="40" spans="1:5" s="63" customFormat="1" ht="13.9">
      <c r="D40" s="81" t="s">
        <v>651</v>
      </c>
    </row>
    <row r="41" spans="1:5" s="63" customFormat="1" ht="13.9">
      <c r="D41" s="97">
        <v>43531</v>
      </c>
    </row>
    <row r="42" spans="1:5" s="63" customFormat="1" ht="13.9"/>
    <row r="43" spans="1:5" s="63" customFormat="1" ht="13.9">
      <c r="D43" s="98" t="s">
        <v>298</v>
      </c>
    </row>
    <row r="44" spans="1:5" s="63" customFormat="1" ht="13.9"/>
    <row r="45" spans="1:5" s="63" customFormat="1" ht="13.9">
      <c r="A45" s="99" t="s">
        <v>652</v>
      </c>
      <c r="B45" s="608" t="s">
        <v>604</v>
      </c>
      <c r="C45" s="100"/>
      <c r="D45" s="101"/>
      <c r="E45" s="102"/>
    </row>
    <row r="46" spans="1:5" s="63" customFormat="1" ht="13.9">
      <c r="A46" s="103"/>
      <c r="B46" s="62"/>
      <c r="C46" s="62"/>
      <c r="E46" s="104"/>
    </row>
    <row r="47" spans="1:5" s="63" customFormat="1" ht="13.9">
      <c r="A47" s="103"/>
      <c r="B47" s="62"/>
      <c r="C47" s="62"/>
      <c r="E47" s="104"/>
    </row>
    <row r="48" spans="1:5" s="63" customFormat="1" ht="13.9">
      <c r="A48" s="103"/>
      <c r="B48" s="62"/>
      <c r="C48" s="62"/>
      <c r="E48" s="104"/>
    </row>
    <row r="49" spans="1:5" s="63" customFormat="1" ht="13.9">
      <c r="A49" s="103"/>
      <c r="B49" s="62"/>
      <c r="C49" s="62"/>
      <c r="E49" s="104"/>
    </row>
    <row r="50" spans="1:5" s="63" customFormat="1" ht="13.9">
      <c r="A50" s="103"/>
      <c r="B50" s="62"/>
      <c r="C50" s="62"/>
      <c r="E50" s="104"/>
    </row>
    <row r="51" spans="1:5" s="63" customFormat="1" ht="13.9">
      <c r="A51" s="105" t="s">
        <v>651</v>
      </c>
      <c r="B51" s="62"/>
      <c r="C51" s="62"/>
      <c r="D51" s="105" t="s">
        <v>651</v>
      </c>
      <c r="E51" s="104"/>
    </row>
    <row r="52" spans="1:5" s="63" customFormat="1" ht="13.9">
      <c r="A52" s="105" t="s">
        <v>605</v>
      </c>
      <c r="B52" s="62"/>
      <c r="C52" s="62"/>
      <c r="D52" s="105" t="s">
        <v>605</v>
      </c>
      <c r="E52" s="104"/>
    </row>
    <row r="53" spans="1:5" s="63" customFormat="1" ht="13.9">
      <c r="A53" s="105" t="s">
        <v>298</v>
      </c>
      <c r="D53" s="105" t="s">
        <v>298</v>
      </c>
      <c r="E53" s="104"/>
    </row>
    <row r="54" spans="1:5" s="63" customFormat="1" ht="13.9">
      <c r="A54" s="106"/>
      <c r="B54" s="70"/>
      <c r="C54" s="70"/>
      <c r="D54" s="70"/>
      <c r="E54" s="107"/>
    </row>
    <row r="55" spans="1:5" s="63" customFormat="1" ht="13.9"/>
    <row r="56" spans="1:5" s="63" customFormat="1" ht="13.9"/>
    <row r="57" spans="1:5" s="63" customFormat="1" ht="13.9"/>
  </sheetData>
  <mergeCells count="4">
    <mergeCell ref="O16:S16"/>
    <mergeCell ref="A34:E34"/>
    <mergeCell ref="B38:E38"/>
    <mergeCell ref="A5:E9"/>
  </mergeCells>
  <phoneticPr fontId="98" type="noConversion"/>
  <pageMargins left="0.7" right="0.7" top="0.75" bottom="0.75" header="0.3" footer="0.3"/>
  <pageSetup paperSize="9" scale="76" orientation="portrait"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pageSetUpPr fitToPage="1"/>
  </sheetPr>
  <dimension ref="A1:AE22"/>
  <sheetViews>
    <sheetView view="pageBreakPreview" zoomScale="60" zoomScaleNormal="100" workbookViewId="0">
      <selection activeCell="K23" sqref="K23"/>
    </sheetView>
  </sheetViews>
  <sheetFormatPr defaultColWidth="8.06640625" defaultRowHeight="30.75" customHeight="1"/>
  <cols>
    <col min="1" max="1" width="12.59765625" style="1" customWidth="1"/>
    <col min="2" max="2" width="11.73046875" style="1" customWidth="1"/>
    <col min="3" max="3" width="8.06640625" style="1"/>
    <col min="4" max="4" width="21" style="1" customWidth="1"/>
    <col min="5" max="5" width="15.59765625" style="1" customWidth="1"/>
    <col min="6" max="6" width="16.06640625" style="1" customWidth="1"/>
    <col min="7" max="7" width="18.06640625" style="1" customWidth="1"/>
    <col min="8" max="8" width="12.33203125" style="1" customWidth="1"/>
    <col min="9" max="9" width="8.06640625" style="1"/>
    <col min="10" max="12" width="5.796875" style="1" customWidth="1"/>
    <col min="13" max="16384" width="8.06640625" style="1"/>
  </cols>
  <sheetData>
    <row r="1" spans="1:31" ht="35.200000000000003" customHeight="1">
      <c r="A1" s="2"/>
      <c r="B1" s="2"/>
      <c r="C1" s="2"/>
      <c r="D1" s="2"/>
      <c r="E1" s="2"/>
      <c r="F1" s="2"/>
      <c r="G1" s="2"/>
      <c r="H1" s="2"/>
      <c r="Q1" s="44" t="s">
        <v>51</v>
      </c>
      <c r="R1" s="45" t="s">
        <v>653</v>
      </c>
    </row>
    <row r="2" spans="1:31" ht="15.7" customHeight="1">
      <c r="A2" s="3" t="s">
        <v>654</v>
      </c>
      <c r="B2" s="4"/>
      <c r="C2" s="4"/>
      <c r="D2" s="4"/>
      <c r="E2" s="5"/>
      <c r="F2" s="6" t="s">
        <v>655</v>
      </c>
      <c r="G2" s="5"/>
      <c r="H2" s="5"/>
      <c r="I2" s="6" t="s">
        <v>656</v>
      </c>
      <c r="J2" s="5"/>
      <c r="K2" s="5"/>
      <c r="L2" s="40"/>
      <c r="Q2" s="44" t="s">
        <v>53</v>
      </c>
      <c r="R2" s="45" t="s">
        <v>403</v>
      </c>
    </row>
    <row r="3" spans="1:31" ht="15.7" customHeight="1">
      <c r="A3" s="7" t="s">
        <v>657</v>
      </c>
      <c r="B3" s="8"/>
      <c r="C3" s="8"/>
      <c r="D3" s="8"/>
      <c r="F3" s="9" t="s">
        <v>658</v>
      </c>
      <c r="G3" s="10"/>
      <c r="I3" s="9" t="s">
        <v>659</v>
      </c>
      <c r="J3" s="853"/>
      <c r="K3" s="854"/>
      <c r="L3" s="855"/>
      <c r="Q3" s="44" t="s">
        <v>55</v>
      </c>
      <c r="R3" s="45" t="s">
        <v>660</v>
      </c>
    </row>
    <row r="4" spans="1:31" ht="15.7" customHeight="1">
      <c r="A4" s="11" t="s">
        <v>661</v>
      </c>
      <c r="B4" s="12"/>
      <c r="C4" s="12"/>
      <c r="D4" s="12"/>
      <c r="E4" s="13"/>
      <c r="F4" s="14" t="s">
        <v>662</v>
      </c>
      <c r="G4" s="15"/>
      <c r="H4" s="13"/>
      <c r="I4" s="14" t="s">
        <v>659</v>
      </c>
      <c r="J4" s="856"/>
      <c r="K4" s="857"/>
      <c r="L4" s="858"/>
      <c r="Q4" s="44" t="s">
        <v>57</v>
      </c>
      <c r="R4" s="45" t="s">
        <v>663</v>
      </c>
    </row>
    <row r="5" spans="1:31" ht="13.5">
      <c r="A5" s="8"/>
      <c r="B5" s="8"/>
      <c r="C5" s="8"/>
      <c r="D5" s="8"/>
      <c r="E5" s="9"/>
      <c r="F5" s="16"/>
      <c r="G5" s="9"/>
      <c r="H5" s="17"/>
      <c r="Q5" s="44" t="s">
        <v>59</v>
      </c>
      <c r="R5" s="46" t="s">
        <v>21</v>
      </c>
    </row>
    <row r="6" spans="1:31" ht="13.9">
      <c r="A6" s="18" t="s">
        <v>664</v>
      </c>
      <c r="B6" s="18" t="s">
        <v>665</v>
      </c>
      <c r="C6" s="847" t="s">
        <v>666</v>
      </c>
      <c r="D6" s="847"/>
      <c r="E6" s="20" t="s">
        <v>667</v>
      </c>
      <c r="F6" s="20" t="s">
        <v>668</v>
      </c>
      <c r="G6" s="20" t="s">
        <v>669</v>
      </c>
      <c r="H6" s="846" t="s">
        <v>670</v>
      </c>
      <c r="I6" s="847"/>
      <c r="J6" s="846" t="s">
        <v>671</v>
      </c>
      <c r="K6" s="847"/>
      <c r="L6" s="847"/>
      <c r="Q6" s="47" t="s">
        <v>60</v>
      </c>
      <c r="R6" s="48"/>
    </row>
    <row r="7" spans="1:31" ht="27.75">
      <c r="A7" s="21"/>
      <c r="B7" s="21"/>
      <c r="C7" s="851"/>
      <c r="D7" s="851"/>
      <c r="E7" s="22"/>
      <c r="F7" s="22"/>
      <c r="G7" s="22"/>
      <c r="H7" s="852"/>
      <c r="I7" s="852"/>
      <c r="J7" s="852"/>
      <c r="K7" s="852"/>
      <c r="L7" s="852"/>
      <c r="Q7" s="47" t="s">
        <v>62</v>
      </c>
      <c r="R7" s="49"/>
    </row>
    <row r="9" spans="1:31" ht="30.75" customHeight="1">
      <c r="A9" s="850" t="s">
        <v>672</v>
      </c>
      <c r="B9" s="850"/>
      <c r="C9" s="850"/>
      <c r="D9" s="850"/>
      <c r="E9" s="850"/>
      <c r="F9" s="850"/>
      <c r="G9" s="850"/>
      <c r="H9" s="850"/>
      <c r="I9" s="846" t="s">
        <v>67</v>
      </c>
      <c r="J9" s="850" t="s">
        <v>673</v>
      </c>
      <c r="K9" s="850"/>
      <c r="L9" s="850"/>
      <c r="Q9" s="50" t="s">
        <v>65</v>
      </c>
      <c r="R9" s="51" t="s">
        <v>66</v>
      </c>
      <c r="S9" s="50" t="s">
        <v>67</v>
      </c>
      <c r="T9" s="821" t="s">
        <v>68</v>
      </c>
      <c r="U9" s="821"/>
      <c r="V9" s="821"/>
      <c r="W9" s="821"/>
      <c r="X9" s="821"/>
      <c r="Y9"/>
      <c r="Z9"/>
      <c r="AA9"/>
      <c r="AB9"/>
      <c r="AC9"/>
      <c r="AD9"/>
      <c r="AE9"/>
    </row>
    <row r="10" spans="1:31" ht="27">
      <c r="A10" s="19" t="s">
        <v>674</v>
      </c>
      <c r="B10" s="19" t="s">
        <v>675</v>
      </c>
      <c r="C10" s="19" t="s">
        <v>676</v>
      </c>
      <c r="D10" s="19" t="s">
        <v>677</v>
      </c>
      <c r="E10" s="19" t="s">
        <v>678</v>
      </c>
      <c r="F10" s="19" t="s">
        <v>679</v>
      </c>
      <c r="G10" s="19" t="s">
        <v>680</v>
      </c>
      <c r="H10" s="19" t="s">
        <v>681</v>
      </c>
      <c r="I10" s="847"/>
      <c r="J10" s="23">
        <v>1</v>
      </c>
      <c r="K10" s="23">
        <v>2</v>
      </c>
      <c r="L10" s="23">
        <v>3</v>
      </c>
      <c r="Q10" s="52" t="s">
        <v>682</v>
      </c>
      <c r="R10" s="53">
        <v>7</v>
      </c>
      <c r="S10" s="54" t="s">
        <v>683</v>
      </c>
      <c r="T10" s="55" t="s">
        <v>664</v>
      </c>
      <c r="U10" s="55" t="s">
        <v>665</v>
      </c>
      <c r="V10" s="848" t="s">
        <v>666</v>
      </c>
      <c r="W10" s="848"/>
      <c r="X10" s="56" t="s">
        <v>667</v>
      </c>
      <c r="Y10" s="56" t="s">
        <v>668</v>
      </c>
      <c r="Z10" s="56" t="s">
        <v>669</v>
      </c>
      <c r="AA10" s="849" t="s">
        <v>670</v>
      </c>
      <c r="AB10" s="848"/>
      <c r="AC10" s="849" t="s">
        <v>671</v>
      </c>
      <c r="AD10" s="848"/>
      <c r="AE10" s="848"/>
    </row>
    <row r="11" spans="1:31" ht="27">
      <c r="A11" s="24"/>
      <c r="B11" s="24"/>
      <c r="C11" s="24"/>
      <c r="D11" s="24"/>
      <c r="E11" s="24"/>
      <c r="F11" s="24"/>
      <c r="G11" s="24"/>
      <c r="H11" s="24"/>
      <c r="I11" s="24"/>
      <c r="J11" s="24"/>
      <c r="K11" s="24"/>
      <c r="L11" s="24"/>
      <c r="Q11" s="52" t="s">
        <v>684</v>
      </c>
      <c r="R11" s="53">
        <v>11</v>
      </c>
      <c r="S11" s="54" t="s">
        <v>683</v>
      </c>
      <c r="T11" s="57" t="s">
        <v>674</v>
      </c>
      <c r="U11" s="57" t="s">
        <v>675</v>
      </c>
      <c r="V11" s="57" t="s">
        <v>676</v>
      </c>
      <c r="W11" s="57" t="s">
        <v>677</v>
      </c>
      <c r="X11" s="57" t="s">
        <v>678</v>
      </c>
      <c r="Y11" s="57" t="s">
        <v>679</v>
      </c>
      <c r="Z11" s="57" t="s">
        <v>680</v>
      </c>
      <c r="AA11" s="57" t="s">
        <v>681</v>
      </c>
      <c r="AB11" s="58" t="s">
        <v>67</v>
      </c>
      <c r="AC11" s="59">
        <v>1</v>
      </c>
      <c r="AD11" s="59">
        <v>2</v>
      </c>
      <c r="AE11" s="59">
        <v>3</v>
      </c>
    </row>
    <row r="12" spans="1:31" ht="30.75" customHeight="1">
      <c r="A12" s="25" t="s">
        <v>685</v>
      </c>
      <c r="B12" s="25"/>
      <c r="C12" s="25"/>
      <c r="D12" s="25"/>
      <c r="E12" s="25"/>
      <c r="F12" s="25"/>
      <c r="G12" s="25"/>
      <c r="H12" s="25"/>
      <c r="I12" s="25"/>
      <c r="J12" s="25"/>
      <c r="K12" s="25"/>
      <c r="L12" s="25"/>
      <c r="Q12" s="52" t="s">
        <v>686</v>
      </c>
      <c r="R12" s="53">
        <v>17</v>
      </c>
      <c r="S12" s="54" t="s">
        <v>683</v>
      </c>
      <c r="T12" s="57" t="s">
        <v>674</v>
      </c>
      <c r="U12" s="57" t="s">
        <v>675</v>
      </c>
      <c r="V12" s="57" t="s">
        <v>676</v>
      </c>
      <c r="W12" s="57" t="s">
        <v>677</v>
      </c>
      <c r="X12" s="57" t="s">
        <v>678</v>
      </c>
      <c r="Y12" s="57" t="s">
        <v>679</v>
      </c>
      <c r="Z12" s="57" t="s">
        <v>680</v>
      </c>
      <c r="AA12" s="57" t="s">
        <v>681</v>
      </c>
      <c r="AB12" s="58" t="s">
        <v>67</v>
      </c>
      <c r="AC12" s="60">
        <v>1</v>
      </c>
      <c r="AD12" s="60">
        <v>2</v>
      </c>
      <c r="AE12" s="60">
        <v>3</v>
      </c>
    </row>
    <row r="13" spans="1:31" ht="13.5">
      <c r="A13" s="26"/>
      <c r="B13" s="27"/>
      <c r="C13" s="27"/>
      <c r="D13" s="28"/>
      <c r="E13" s="28"/>
      <c r="F13" s="28"/>
      <c r="G13" s="28"/>
      <c r="H13" s="29"/>
    </row>
    <row r="14" spans="1:31" ht="30.75" customHeight="1">
      <c r="A14" s="30" t="s">
        <v>687</v>
      </c>
      <c r="B14" s="27"/>
      <c r="C14" s="27"/>
      <c r="D14" s="28"/>
      <c r="E14" s="28"/>
      <c r="F14" s="28"/>
      <c r="G14" s="28"/>
      <c r="H14" s="29"/>
    </row>
    <row r="15" spans="1:31" ht="30.75" customHeight="1">
      <c r="A15" s="850" t="s">
        <v>672</v>
      </c>
      <c r="B15" s="850"/>
      <c r="C15" s="850"/>
      <c r="D15" s="850"/>
      <c r="E15" s="850"/>
      <c r="F15" s="850"/>
      <c r="G15" s="850"/>
      <c r="H15" s="850"/>
      <c r="I15" s="846" t="s">
        <v>67</v>
      </c>
      <c r="J15" s="850" t="s">
        <v>673</v>
      </c>
      <c r="K15" s="850"/>
      <c r="L15" s="850"/>
    </row>
    <row r="16" spans="1:31" ht="13.5">
      <c r="A16" s="19" t="s">
        <v>688</v>
      </c>
      <c r="B16" s="19" t="s">
        <v>675</v>
      </c>
      <c r="C16" s="19" t="s">
        <v>689</v>
      </c>
      <c r="D16" s="19" t="s">
        <v>690</v>
      </c>
      <c r="E16" s="19" t="s">
        <v>678</v>
      </c>
      <c r="F16" s="19" t="s">
        <v>679</v>
      </c>
      <c r="G16" s="19" t="s">
        <v>680</v>
      </c>
      <c r="H16" s="19" t="s">
        <v>681</v>
      </c>
      <c r="I16" s="847"/>
      <c r="J16" s="23">
        <v>1</v>
      </c>
      <c r="K16" s="23">
        <v>2</v>
      </c>
      <c r="L16" s="23">
        <v>3</v>
      </c>
    </row>
    <row r="17" spans="1:12" ht="13.5">
      <c r="A17" s="31"/>
      <c r="B17" s="31"/>
      <c r="C17" s="32"/>
      <c r="D17" s="31"/>
      <c r="E17" s="31"/>
      <c r="F17" s="33"/>
      <c r="G17" s="33"/>
      <c r="H17" s="33"/>
      <c r="I17" s="32"/>
      <c r="J17" s="32"/>
      <c r="K17" s="32"/>
      <c r="L17" s="32"/>
    </row>
    <row r="18" spans="1:12" ht="30.75" customHeight="1">
      <c r="A18" s="31"/>
      <c r="B18" s="31"/>
      <c r="C18" s="31"/>
      <c r="D18" s="31"/>
      <c r="E18" s="33"/>
      <c r="F18" s="33"/>
      <c r="G18" s="33"/>
      <c r="H18" s="32"/>
      <c r="I18" s="32"/>
      <c r="J18" s="32"/>
      <c r="K18" s="32"/>
      <c r="L18" s="32"/>
    </row>
    <row r="19" spans="1:12" ht="13.5">
      <c r="A19" s="844" t="s">
        <v>691</v>
      </c>
      <c r="B19" s="845"/>
      <c r="C19" s="845"/>
      <c r="D19" s="845"/>
      <c r="E19" s="845"/>
      <c r="F19" s="845"/>
      <c r="G19" s="845"/>
      <c r="H19" s="845"/>
      <c r="I19" s="845"/>
      <c r="J19" s="845"/>
      <c r="K19" s="845"/>
      <c r="L19" s="845"/>
    </row>
    <row r="20" spans="1:12" ht="30.75" customHeight="1">
      <c r="A20" s="34"/>
      <c r="B20" s="34"/>
      <c r="C20" s="35"/>
      <c r="D20" s="35"/>
      <c r="E20" s="35"/>
      <c r="F20" s="35"/>
      <c r="G20" s="35"/>
      <c r="H20" s="35"/>
    </row>
    <row r="21" spans="1:12" ht="13.5">
      <c r="A21" s="36" t="s">
        <v>692</v>
      </c>
      <c r="B21" s="37"/>
      <c r="C21" s="37"/>
      <c r="D21" s="37"/>
      <c r="E21" s="37"/>
      <c r="F21" s="37"/>
      <c r="G21" s="37"/>
      <c r="H21" s="37"/>
      <c r="I21" s="41"/>
      <c r="J21" s="41"/>
      <c r="K21" s="41"/>
      <c r="L21" s="42"/>
    </row>
    <row r="22" spans="1:12" ht="30.75" customHeight="1">
      <c r="A22" s="38"/>
      <c r="B22" s="39"/>
      <c r="C22" s="39"/>
      <c r="D22" s="39"/>
      <c r="E22" s="39"/>
      <c r="F22" s="39"/>
      <c r="G22" s="39"/>
      <c r="H22" s="39"/>
      <c r="I22" s="39"/>
      <c r="J22" s="39"/>
      <c r="K22" s="39"/>
      <c r="L22" s="43"/>
    </row>
  </sheetData>
  <mergeCells count="19">
    <mergeCell ref="J3:L3"/>
    <mergeCell ref="J4:L4"/>
    <mergeCell ref="C6:D6"/>
    <mergeCell ref="H6:I6"/>
    <mergeCell ref="J6:L6"/>
    <mergeCell ref="AA10:AB10"/>
    <mergeCell ref="AC10:AE10"/>
    <mergeCell ref="A15:H15"/>
    <mergeCell ref="J15:L15"/>
    <mergeCell ref="C7:D7"/>
    <mergeCell ref="H7:I7"/>
    <mergeCell ref="J7:L7"/>
    <mergeCell ref="A9:H9"/>
    <mergeCell ref="J9:L9"/>
    <mergeCell ref="A19:L19"/>
    <mergeCell ref="I9:I10"/>
    <mergeCell ref="I15:I16"/>
    <mergeCell ref="T9:X9"/>
    <mergeCell ref="V10:W10"/>
  </mergeCells>
  <phoneticPr fontId="98" type="noConversion"/>
  <pageMargins left="0.7" right="0.7" top="0.75" bottom="0.75" header="0.3" footer="0.3"/>
  <pageSetup paperSize="9" scale="59" fitToHeight="0"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17</vt:i4>
      </vt:variant>
      <vt:variant>
        <vt:lpstr>命名范围</vt:lpstr>
      </vt:variant>
      <vt:variant>
        <vt:i4>19</vt:i4>
      </vt:variant>
    </vt:vector>
  </HeadingPairs>
  <TitlesOfParts>
    <vt:vector size="36" baseType="lpstr">
      <vt:lpstr>使用说明</vt:lpstr>
      <vt:lpstr>操作平台</vt:lpstr>
      <vt:lpstr>基本信息</vt:lpstr>
      <vt:lpstr>企业询证函模板</vt:lpstr>
      <vt:lpstr>银行询证函模板</vt:lpstr>
      <vt:lpstr>银行询证函模板-新</vt:lpstr>
      <vt:lpstr>支付宝</vt:lpstr>
      <vt:lpstr>微信</vt:lpstr>
      <vt:lpstr>信息服务函证</vt:lpstr>
      <vt:lpstr>银行询证函模板（英文）</vt:lpstr>
      <vt:lpstr>企业询证函（英文）</vt:lpstr>
      <vt:lpstr>英文企业</vt:lpstr>
      <vt:lpstr>工程项目函证模板</vt:lpstr>
      <vt:lpstr>有价证券函证模板</vt:lpstr>
      <vt:lpstr>数据表模板</vt:lpstr>
      <vt:lpstr>三年一期工程项目模板</vt:lpstr>
      <vt:lpstr>替代测试模板</vt:lpstr>
      <vt:lpstr>基本信息!address</vt:lpstr>
      <vt:lpstr>基本信息!barCode</vt:lpstr>
      <vt:lpstr>基本信息!email</vt:lpstr>
      <vt:lpstr>基本信息!object</vt:lpstr>
      <vt:lpstr>基本信息!postcode</vt:lpstr>
      <vt:lpstr>工程项目函证模板!Print_Area</vt:lpstr>
      <vt:lpstr>'企业询证函（英文）'!Print_Area</vt:lpstr>
      <vt:lpstr>企业询证函模板!Print_Area</vt:lpstr>
      <vt:lpstr>三年一期工程项目模板!Print_Area</vt:lpstr>
      <vt:lpstr>替代测试模板!Print_Area</vt:lpstr>
      <vt:lpstr>微信!Print_Area</vt:lpstr>
      <vt:lpstr>信息服务函证!Print_Area</vt:lpstr>
      <vt:lpstr>银行询证函模板!Print_Area</vt:lpstr>
      <vt:lpstr>'银行询证函模板（英文）'!Print_Area</vt:lpstr>
      <vt:lpstr>'银行询证函模板-新'!Print_Area</vt:lpstr>
      <vt:lpstr>英文企业!Print_Area</vt:lpstr>
      <vt:lpstr>有价证券函证模板!Print_Area</vt:lpstr>
      <vt:lpstr>支付宝!Print_Area</vt:lpstr>
      <vt:lpstr>基本信息!year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LC-seven</dc:creator>
  <cp:lastModifiedBy>涂佳兵</cp:lastModifiedBy>
  <cp:lastPrinted>2020-02-17T10:23:00Z</cp:lastPrinted>
  <dcterms:created xsi:type="dcterms:W3CDTF">2015-06-05T18:19:00Z</dcterms:created>
  <dcterms:modified xsi:type="dcterms:W3CDTF">2020-05-08T06:30:18Z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2052-10.8.2.6837</vt:lpwstr>
  </property>
</Properties>
</file>
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filterPrivacy="1" codeName="ThisWorkbook"/>
  <xr:revisionPtr revIDLastSave="0" documentId="13_ncr:1_{2753D121-4851-48F6-BDD8-98815D73983C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控制面板" sheetId="2" r:id="rId1"/>
    <sheet name="序时账" sheetId="3" r:id="rId2"/>
    <sheet name="银行流水" sheetId="4" r:id="rId3"/>
    <sheet name="结果展示模板" sheetId="5" r:id="rId4"/>
  </sheets>
  <functionGroups builtInGroupCount="19"/>
  <definedNames>
    <definedName name="_xlnm._FilterDatabase" localSheetId="1" hidden="1">序时账!$A$1:$N$1</definedName>
    <definedName name="_xlnm._FilterDatabase" localSheetId="2" hidden="1">银行流水!$A$1:$P$1</definedName>
    <definedName name="ASC" hidden="1">#REF!</definedName>
    <definedName name="ASF" hidden="1">#REF!</definedName>
    <definedName name="ASN" hidden="1">#REF!</definedName>
    <definedName name="ASW" hidden="1">#REF!</definedName>
    <definedName name="CNC" hidden="1">TRUE</definedName>
    <definedName name="_xlnm.Database" hidden="1">#REF!</definedName>
    <definedName name="Selected" hidden="1">#REF!</definedName>
    <definedName name="SFN" hidden="1">"C:\Users\WWCHENG\Desktop\遗产\银行流水核对工具\银行流水模拟数据.xlsx"</definedName>
    <definedName name="SSC" hidden="1">#REF!</definedName>
    <definedName name="SSF" hidden="1">#REF!</definedName>
    <definedName name="SSN" hidden="1">#REF!</definedName>
    <definedName name="Theme" hidden="1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8" i="5" l="1"/>
  <c r="F18" i="5"/>
  <c r="G18" i="5"/>
  <c r="H18" i="5"/>
  <c r="I18" i="5"/>
  <c r="J18" i="5"/>
  <c r="K18" i="5"/>
  <c r="L18" i="5"/>
  <c r="M18" i="5"/>
  <c r="N18" i="5"/>
  <c r="O18" i="5"/>
  <c r="E19" i="5"/>
  <c r="F19" i="5"/>
  <c r="G19" i="5"/>
  <c r="H19" i="5"/>
  <c r="I19" i="5"/>
  <c r="J19" i="5"/>
  <c r="K19" i="5"/>
  <c r="L19" i="5"/>
  <c r="M19" i="5"/>
  <c r="N19" i="5"/>
  <c r="O19" i="5"/>
  <c r="E10" i="5"/>
  <c r="F10" i="5"/>
  <c r="G10" i="5"/>
  <c r="H10" i="5"/>
  <c r="I10" i="5"/>
  <c r="J10" i="5"/>
  <c r="K10" i="5"/>
  <c r="L10" i="5"/>
  <c r="M10" i="5"/>
  <c r="N10" i="5"/>
  <c r="O10" i="5"/>
  <c r="E11" i="5"/>
  <c r="F11" i="5"/>
  <c r="G11" i="5"/>
  <c r="H11" i="5"/>
  <c r="I11" i="5"/>
  <c r="J11" i="5"/>
  <c r="K11" i="5"/>
  <c r="L11" i="5"/>
  <c r="M11" i="5"/>
  <c r="N11" i="5"/>
  <c r="O11" i="5"/>
  <c r="D19" i="5"/>
  <c r="D18" i="5"/>
  <c r="D11" i="5"/>
  <c r="D10" i="5"/>
  <c r="P5" i="5" l="1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1" authorId="0" shapeId="0" xr:uid="{C70B07A7-FB18-4E69-A73F-6ED7020CCC28}">
      <text>
        <r>
          <rPr>
            <b/>
            <sz val="9"/>
            <color indexed="81"/>
            <rFont val="Microsoft YaHei Light"/>
            <family val="2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1" authorId="0" shapeId="0" xr:uid="{469E31AF-829F-4F08-A868-F1A6E091491B}">
      <text>
        <r>
          <rPr>
            <b/>
            <sz val="9"/>
            <color indexed="81"/>
            <rFont val="Microsoft YaHei Light"/>
            <family val="2"/>
            <charset val="134"/>
          </rPr>
          <t xml:space="preserve">双击清洗金额
</t>
        </r>
      </text>
    </comment>
    <comment ref="K1" authorId="0" shapeId="0" xr:uid="{E2CAC3E2-5C3C-40B6-958A-3FBD771FB878}">
      <text>
        <r>
          <rPr>
            <b/>
            <sz val="9"/>
            <color indexed="81"/>
            <rFont val="Microsoft YaHei Light"/>
            <family val="2"/>
            <charset val="134"/>
          </rPr>
          <t>双击打开或取消筛选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0BBD1050-B686-4BA8-AFDA-05381B3F2834}">
      <text>
        <r>
          <rPr>
            <b/>
            <sz val="9"/>
            <color indexed="81"/>
            <rFont val="宋体"/>
            <family val="3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1" authorId="0" shapeId="0" xr:uid="{0DA64428-A159-4A2D-A889-A90F2FD08F12}">
      <text>
        <r>
          <rPr>
            <b/>
            <sz val="9"/>
            <color indexed="81"/>
            <rFont val="宋体"/>
            <family val="3"/>
            <charset val="134"/>
          </rPr>
          <t>双击清洗金额</t>
        </r>
      </text>
    </comment>
    <comment ref="M1" authorId="0" shapeId="0" xr:uid="{6DFF65A7-07B1-4828-A8EE-A289B4499034}">
      <text>
        <r>
          <rPr>
            <b/>
            <sz val="9"/>
            <color indexed="81"/>
            <rFont val="宋体"/>
            <family val="3"/>
            <charset val="134"/>
          </rPr>
          <t>双击打开或取消筛选</t>
        </r>
      </text>
    </comment>
  </commentList>
</comments>
</file>

<file path=xl/sharedStrings.xml><?xml version="1.0" encoding="utf-8"?>
<sst xmlns="http://schemas.openxmlformats.org/spreadsheetml/2006/main" count="98" uniqueCount="71">
  <si>
    <t>前</t>
    <phoneticPr fontId="2" type="noConversion"/>
  </si>
  <si>
    <t>天</t>
    <phoneticPr fontId="2" type="noConversion"/>
  </si>
  <si>
    <t>后</t>
    <phoneticPr fontId="2" type="noConversion"/>
  </si>
  <si>
    <t>账户</t>
    <phoneticPr fontId="2" type="noConversion"/>
  </si>
  <si>
    <t>科目代码</t>
    <phoneticPr fontId="2" type="noConversion"/>
  </si>
  <si>
    <t>科目名称</t>
    <phoneticPr fontId="2" type="noConversion"/>
  </si>
  <si>
    <t>日期</t>
    <phoneticPr fontId="2" type="noConversion"/>
  </si>
  <si>
    <t>凭证号</t>
    <phoneticPr fontId="2" type="noConversion"/>
  </si>
  <si>
    <t>对方户名</t>
    <phoneticPr fontId="2" type="noConversion"/>
  </si>
  <si>
    <t>摘要</t>
    <phoneticPr fontId="2" type="noConversion"/>
  </si>
  <si>
    <t>借方</t>
    <phoneticPr fontId="2" type="noConversion"/>
  </si>
  <si>
    <t>贷方</t>
    <phoneticPr fontId="2" type="noConversion"/>
  </si>
  <si>
    <t>核对调整</t>
  </si>
  <si>
    <t>账户名称</t>
    <phoneticPr fontId="2" type="noConversion"/>
  </si>
  <si>
    <t>交易时间</t>
    <phoneticPr fontId="2" type="noConversion"/>
  </si>
  <si>
    <t>交易流水号</t>
    <phoneticPr fontId="2" type="noConversion"/>
  </si>
  <si>
    <t>对方账号</t>
    <phoneticPr fontId="2" type="noConversion"/>
  </si>
  <si>
    <t>对方开户机构</t>
    <phoneticPr fontId="2" type="noConversion"/>
  </si>
  <si>
    <t>备注</t>
    <phoneticPr fontId="2" type="noConversion"/>
  </si>
  <si>
    <t>序时账与银行流水差异核对结果明细表</t>
    <phoneticPr fontId="2" type="noConversion"/>
  </si>
  <si>
    <t>1月份</t>
  </si>
  <si>
    <t>2月份</t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</si>
  <si>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</si>
  <si>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</si>
  <si>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</si>
  <si>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</si>
  <si>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</si>
  <si>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</si>
  <si>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</si>
  <si>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</si>
  <si>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</si>
  <si>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</si>
  <si>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合计</t>
    <phoneticPr fontId="2" type="noConversion"/>
  </si>
  <si>
    <t>项目</t>
    <phoneticPr fontId="1" type="noConversion"/>
  </si>
  <si>
    <t>③“日期(含跨期)+对方+金额”匹配金额</t>
    <phoneticPr fontId="2" type="noConversion"/>
  </si>
  <si>
    <t>④“日期(含跨期)+金额”匹配金额</t>
    <phoneticPr fontId="2" type="noConversion"/>
  </si>
  <si>
    <t>⑤“月份金额合计”匹配金额</t>
    <phoneticPr fontId="2" type="noConversion"/>
  </si>
  <si>
    <t>⑥手工核对调整</t>
    <phoneticPr fontId="2" type="noConversion"/>
  </si>
  <si>
    <t>⑦网银流水 - 匹配数</t>
    <phoneticPr fontId="2" type="noConversion"/>
  </si>
  <si>
    <t>⑧序时账 - 匹配数</t>
    <phoneticPr fontId="2" type="noConversion"/>
  </si>
  <si>
    <t>备注</t>
    <phoneticPr fontId="1" type="noConversion"/>
  </si>
  <si>
    <t>④包含③</t>
    <phoneticPr fontId="1" type="noConversion"/>
  </si>
  <si>
    <t>①-（④+⑤+⑥）</t>
    <phoneticPr fontId="1" type="noConversion"/>
  </si>
  <si>
    <t>②-（④+⑤+⑥）</t>
    <phoneticPr fontId="1" type="noConversion"/>
  </si>
  <si>
    <t>①网银流水借方总计</t>
    <phoneticPr fontId="2" type="noConversion"/>
  </si>
  <si>
    <t>②序时账贷方总计</t>
    <phoneticPr fontId="1" type="noConversion"/>
  </si>
  <si>
    <t>①网银流水贷方总计</t>
    <phoneticPr fontId="2" type="noConversion"/>
  </si>
  <si>
    <t>②序时账借方总计</t>
    <phoneticPr fontId="1" type="noConversion"/>
  </si>
  <si>
    <t>序时账贷方</t>
    <phoneticPr fontId="2" type="noConversion"/>
  </si>
  <si>
    <t>序时账借方</t>
    <phoneticPr fontId="2" type="noConversion"/>
  </si>
  <si>
    <t>数据刷新时间：2019-07-12   20:27:31</t>
    <phoneticPr fontId="2" type="noConversion"/>
  </si>
  <si>
    <t>银行流水可跨期天数：</t>
    <phoneticPr fontId="2" type="noConversion"/>
  </si>
  <si>
    <t>格式要求：</t>
    <phoneticPr fontId="1" type="noConversion"/>
  </si>
  <si>
    <t>2、序时账和流水的时间和借贷方金额必填，对方户名可不填</t>
    <phoneticPr fontId="1" type="noConversion"/>
  </si>
  <si>
    <t>5、跨期时间要在1-31天之内</t>
    <phoneticPr fontId="1" type="noConversion"/>
  </si>
  <si>
    <t>1、序时账和流水的第一列账户必填，没有的话可以用“账户1、账户2、账户3”代替，账户必须连续，不能交叉出现，且账户名称不能超过26个字符，可用Len()函数检验</t>
    <phoneticPr fontId="1" type="noConversion"/>
  </si>
  <si>
    <t>与原版相比，有哪些修改？</t>
    <phoneticPr fontId="1" type="noConversion"/>
  </si>
  <si>
    <t>1、增加多账户核对</t>
    <phoneticPr fontId="1" type="noConversion"/>
  </si>
  <si>
    <t>3、细化核对结果展示</t>
    <phoneticPr fontId="1" type="noConversion"/>
  </si>
  <si>
    <t>6、【控制面板】、【序时账】、【银行流水】、【结果展示模板】不可删除</t>
    <phoneticPr fontId="1" type="noConversion"/>
  </si>
  <si>
    <t>使用步骤：</t>
    <phoneticPr fontId="1" type="noConversion"/>
  </si>
  <si>
    <t>将处理好格式的序时账和网银流水数据复制进来，按照按钮顺序操作即可，如果核对时，有调整可在序时账最后一列上写上“核对无误”字样，再单击刷新结果按钮</t>
    <phoneticPr fontId="1" type="noConversion"/>
  </si>
  <si>
    <t>原制作者：涂佳兵（微信公众号：逆行的狗）   修改者：王文铖 （微信公众号：15Seconds）  联系方式：w-wc@foxmail.com</t>
    <phoneticPr fontId="1" type="noConversion"/>
  </si>
  <si>
    <t>2、去除外部表格导入模块，直接复制</t>
    <phoneticPr fontId="1" type="noConversion"/>
  </si>
  <si>
    <t>4、增加核对方式(方式1：日期+对方+金额 方式2：日期+金额  方式3：月份合计  方式4：手工调整)</t>
    <phoneticPr fontId="1" type="noConversion"/>
  </si>
  <si>
    <t>5、UI修改</t>
    <phoneticPr fontId="1" type="noConversion"/>
  </si>
  <si>
    <t>4、借贷方金额中必须为数值，不能出现特殊字符，要注意减号的区分，千分隔符下的0会显示为“-”，这也算是数值格式</t>
    <phoneticPr fontId="1" type="noConversion"/>
  </si>
  <si>
    <t>3、时间必须为  yyyy-m-d 日期格式</t>
    <phoneticPr fontId="1" type="noConversion"/>
  </si>
  <si>
    <t>“日期+对方+金额”匹配结果</t>
  </si>
  <si>
    <t>“日期+金额”匹配结果</t>
  </si>
  <si>
    <t xml:space="preserve"> 民生0763（CMBC 0763）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</si>
</sst>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0_);[Red]\(0\)"/>
    <numFmt numFmtId="177" formatCode="&quot;√&quot;;&quot;&quot;;&quot;&quot;"/>
    <numFmt numFmtId="178" formatCode="_ * #,##0.00_ ;[Red]_ * \-#,##0.00_ ;_ * &quot;-&quot;??_ ;_ @_ "/>
    <numFmt numFmtId="179" formatCode="#,##0.00_ "/>
  </numFmts>
  <fonts count="2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微软雅黑"/>
      <family val="2"/>
      <charset val="134"/>
    </font>
    <font>
      <sz val="12"/>
      <name val="微软雅黑"/>
      <family val="2"/>
      <charset val="134"/>
    </font>
    <font>
      <b/>
      <sz val="14"/>
      <name val="微软雅黑"/>
      <family val="2"/>
      <charset val="134"/>
    </font>
    <font>
      <b/>
      <sz val="9"/>
      <color rgb="FFFFFFFF"/>
      <name val="微软雅黑"/>
      <family val="2"/>
      <charset val="134"/>
    </font>
    <font>
      <b/>
      <sz val="9"/>
      <color theme="0" tint="-4.9989318521683403E-2"/>
      <name val="微软雅黑"/>
      <family val="2"/>
      <charset val="134"/>
    </font>
    <font>
      <sz val="9"/>
      <color rgb="FF0000FF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8"/>
      <color theme="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宋体"/>
      <family val="3"/>
      <charset val="134"/>
    </font>
    <font>
      <b/>
      <sz val="22"/>
      <color theme="0"/>
      <name val="微软雅黑"/>
      <family val="2"/>
      <charset val="134"/>
    </font>
    <font>
      <sz val="14"/>
      <name val="微软雅黑"/>
      <family val="2"/>
      <charset val="134"/>
    </font>
    <font>
      <sz val="10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name val="微软雅黑"/>
      <family val="2"/>
      <charset val="134"/>
    </font>
    <font>
      <b/>
      <sz val="9"/>
      <color theme="7" tint="0.3999755851924192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Microsoft YaHei Light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>
      <alignment vertical="center"/>
    </xf>
    <xf numFmtId="0" fontId="5" fillId="3" borderId="1" applyNumberFormat="0">
      <alignment horizontal="centerContinuous" vertical="center" shrinkToFit="1"/>
    </xf>
    <xf numFmtId="1" fontId="7" fillId="0" borderId="0" applyFill="0" applyBorder="0" applyProtection="0">
      <alignment horizontal="left" vertical="center" shrinkToFit="1"/>
      <protection locked="0"/>
    </xf>
    <xf numFmtId="178" fontId="2" fillId="0" borderId="0" applyFill="0" applyBorder="0" applyProtection="0">
      <alignment vertical="center" shrinkToFit="1"/>
    </xf>
    <xf numFmtId="0" fontId="12" fillId="0" borderId="0"/>
    <xf numFmtId="9" fontId="2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</cellStyleXfs>
  <cellXfs count="60">
    <xf numFmtId="0" fontId="0" fillId="0" borderId="0" xfId="0"/>
    <xf numFmtId="0" fontId="3" fillId="0" borderId="0" xfId="1" applyFont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2" fillId="0" borderId="0" xfId="1">
      <alignment vertical="center"/>
    </xf>
    <xf numFmtId="178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" fontId="8" fillId="0" borderId="0" xfId="3" applyFont="1" applyFill="1" applyProtection="1">
      <alignment horizontal="left" vertical="center" shrinkToFit="1"/>
    </xf>
    <xf numFmtId="0" fontId="8" fillId="0" borderId="0" xfId="1" applyFont="1" applyFill="1">
      <alignment vertical="center"/>
    </xf>
    <xf numFmtId="14" fontId="8" fillId="0" borderId="0" xfId="1" applyNumberFormat="1" applyFont="1" applyFill="1" applyAlignment="1">
      <alignment horizontal="center" vertical="center"/>
    </xf>
    <xf numFmtId="176" fontId="8" fillId="0" borderId="0" xfId="1" applyNumberFormat="1" applyFont="1" applyFill="1">
      <alignment vertical="center"/>
    </xf>
    <xf numFmtId="178" fontId="8" fillId="0" borderId="0" xfId="4" applyFont="1" applyFill="1" applyAlignment="1">
      <alignment vertical="center"/>
    </xf>
    <xf numFmtId="177" fontId="9" fillId="0" borderId="0" xfId="1" applyNumberFormat="1" applyFont="1" applyFill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178" fontId="0" fillId="0" borderId="0" xfId="4" applyFont="1" applyAlignment="1">
      <alignment vertical="center"/>
    </xf>
    <xf numFmtId="49" fontId="0" fillId="0" borderId="0" xfId="4" applyNumberFormat="1" applyFont="1" applyAlignment="1">
      <alignment vertical="center"/>
    </xf>
    <xf numFmtId="177" fontId="11" fillId="0" borderId="0" xfId="1" applyNumberFormat="1" applyFont="1" applyAlignment="1">
      <alignment horizontal="center" vertical="center"/>
    </xf>
    <xf numFmtId="0" fontId="2" fillId="0" borderId="0" xfId="1" applyFill="1">
      <alignment vertical="center"/>
    </xf>
    <xf numFmtId="49" fontId="0" fillId="0" borderId="0" xfId="4" applyNumberFormat="1" applyFont="1" applyFill="1" applyAlignment="1">
      <alignment vertical="center"/>
    </xf>
    <xf numFmtId="177" fontId="11" fillId="0" borderId="0" xfId="1" applyNumberFormat="1" applyFont="1" applyFill="1" applyAlignment="1">
      <alignment horizontal="center" vertical="center"/>
    </xf>
    <xf numFmtId="1" fontId="7" fillId="0" borderId="0" xfId="3" applyProtection="1">
      <alignment horizontal="left" vertical="center" shrinkToFit="1"/>
    </xf>
    <xf numFmtId="0" fontId="2" fillId="0" borderId="0" xfId="1" applyFill="1" applyBorder="1">
      <alignment vertical="center"/>
    </xf>
    <xf numFmtId="0" fontId="14" fillId="0" borderId="0" xfId="4" applyNumberFormat="1" applyFont="1" applyFill="1" applyBorder="1">
      <alignment vertical="center" shrinkToFit="1"/>
    </xf>
    <xf numFmtId="0" fontId="3" fillId="0" borderId="0" xfId="4" applyNumberFormat="1" applyFont="1" applyFill="1" applyBorder="1">
      <alignment vertical="center" shrinkToFit="1"/>
    </xf>
    <xf numFmtId="0" fontId="15" fillId="0" borderId="0" xfId="1" applyFont="1" applyFill="1" applyBorder="1">
      <alignment vertical="center"/>
    </xf>
    <xf numFmtId="0" fontId="15" fillId="0" borderId="2" xfId="1" applyFont="1" applyFill="1" applyBorder="1" applyAlignment="1">
      <alignment horizontal="center" vertical="center"/>
    </xf>
    <xf numFmtId="0" fontId="15" fillId="0" borderId="2" xfId="1" applyFont="1" applyFill="1" applyBorder="1" applyAlignment="1">
      <alignment horizontal="left" vertical="center" wrapText="1"/>
    </xf>
    <xf numFmtId="10" fontId="15" fillId="0" borderId="0" xfId="1" applyNumberFormat="1" applyFont="1" applyFill="1" applyBorder="1">
      <alignment vertical="center"/>
    </xf>
    <xf numFmtId="0" fontId="2" fillId="0" borderId="0" xfId="1" applyFill="1" applyBorder="1" applyAlignment="1">
      <alignment horizontal="left" vertical="center"/>
    </xf>
    <xf numFmtId="178" fontId="2" fillId="0" borderId="0" xfId="4" applyFill="1" applyBorder="1">
      <alignment vertical="center" shrinkToFit="1"/>
    </xf>
    <xf numFmtId="10" fontId="2" fillId="0" borderId="0" xfId="6" applyNumberFormat="1" applyFill="1" applyBorder="1" applyAlignment="1">
      <alignment vertical="center" shrinkToFit="1"/>
    </xf>
    <xf numFmtId="10" fontId="2" fillId="0" borderId="0" xfId="4" applyNumberFormat="1" applyFill="1" applyBorder="1">
      <alignment vertical="center" shrinkToFit="1"/>
    </xf>
    <xf numFmtId="0" fontId="15" fillId="4" borderId="2" xfId="1" applyFont="1" applyFill="1" applyBorder="1" applyAlignment="1">
      <alignment horizontal="left" vertical="center" wrapText="1"/>
    </xf>
    <xf numFmtId="178" fontId="15" fillId="0" borderId="2" xfId="4" applyFont="1" applyFill="1" applyBorder="1" applyAlignment="1">
      <alignment horizontal="center" vertical="center" shrinkToFit="1"/>
    </xf>
    <xf numFmtId="178" fontId="15" fillId="4" borderId="2" xfId="4" applyFont="1" applyFill="1" applyBorder="1" applyAlignment="1">
      <alignment horizontal="center" vertical="center" shrinkToFit="1"/>
    </xf>
    <xf numFmtId="0" fontId="15" fillId="0" borderId="0" xfId="1" applyFont="1" applyFill="1" applyBorder="1" applyAlignment="1">
      <alignment horizontal="center" vertical="center"/>
    </xf>
    <xf numFmtId="43" fontId="15" fillId="0" borderId="2" xfId="7" applyFont="1" applyFill="1" applyBorder="1" applyAlignment="1">
      <alignment vertical="center" shrinkToFit="1"/>
    </xf>
    <xf numFmtId="43" fontId="15" fillId="4" borderId="2" xfId="7" applyFont="1" applyFill="1" applyBorder="1" applyAlignment="1">
      <alignment vertical="center" shrinkToFit="1"/>
    </xf>
    <xf numFmtId="1" fontId="5" fillId="5" borderId="1" xfId="2" applyNumberFormat="1" applyFill="1" applyAlignment="1">
      <alignment horizontal="center" vertical="center" shrinkToFit="1"/>
    </xf>
    <xf numFmtId="176" fontId="5" fillId="5" borderId="1" xfId="2" applyNumberFormat="1" applyFill="1" applyAlignment="1">
      <alignment horizontal="center" vertical="center" shrinkToFit="1"/>
    </xf>
    <xf numFmtId="177" fontId="6" fillId="5" borderId="1" xfId="2" applyNumberFormat="1" applyFont="1" applyFill="1" applyAlignment="1">
      <alignment horizontal="center" vertical="center" wrapText="1" shrinkToFit="1"/>
    </xf>
    <xf numFmtId="177" fontId="5" fillId="5" borderId="1" xfId="2" applyNumberFormat="1" applyFill="1" applyAlignment="1">
      <alignment horizontal="center" vertical="center" wrapText="1" shrinkToFit="1"/>
    </xf>
    <xf numFmtId="49" fontId="5" fillId="5" borderId="1" xfId="2" applyNumberFormat="1" applyFill="1" applyAlignment="1">
      <alignment horizontal="center" vertical="center" shrinkToFit="1"/>
    </xf>
    <xf numFmtId="177" fontId="10" fillId="5" borderId="1" xfId="2" applyNumberFormat="1" applyFont="1" applyFill="1" applyAlignment="1">
      <alignment horizontal="center" vertical="center" wrapText="1" shrinkToFit="1"/>
    </xf>
    <xf numFmtId="1" fontId="18" fillId="5" borderId="1" xfId="2" applyNumberFormat="1" applyFont="1" applyFill="1" applyAlignment="1">
      <alignment horizontal="center" vertical="center" shrinkToFit="1"/>
    </xf>
    <xf numFmtId="0" fontId="15" fillId="0" borderId="2" xfId="1" applyFont="1" applyFill="1" applyBorder="1" applyAlignment="1">
      <alignment horizontal="center" vertical="center" wrapText="1"/>
    </xf>
    <xf numFmtId="0" fontId="15" fillId="4" borderId="2" xfId="1" applyFont="1" applyFill="1" applyBorder="1" applyAlignment="1">
      <alignment horizontal="center" vertical="center" wrapText="1"/>
    </xf>
    <xf numFmtId="0" fontId="2" fillId="0" borderId="0" xfId="1" applyFill="1" applyBorder="1" applyAlignment="1">
      <alignment horizontal="center" vertical="center"/>
    </xf>
    <xf numFmtId="0" fontId="17" fillId="0" borderId="0" xfId="1" applyFont="1">
      <alignment vertical="center"/>
    </xf>
    <xf numFmtId="14" fontId="2" fillId="0" borderId="0" xfId="1" applyNumberFormat="1" applyFill="1" applyAlignment="1">
      <alignment horizontal="center" vertical="center"/>
    </xf>
    <xf numFmtId="0" fontId="2" fillId="0" borderId="0" xfId="1" applyFill="1" applyAlignment="1">
      <alignment horizontal="center" vertical="center"/>
    </xf>
    <xf numFmtId="0" fontId="20" fillId="0" borderId="0" xfId="1" applyFont="1">
      <alignment vertical="center"/>
    </xf>
    <xf numFmtId="49" fontId="2" fillId="0" borderId="0" xfId="1" applyNumberFormat="1" applyAlignment="1">
      <alignment horizontal="left" vertical="center"/>
    </xf>
    <xf numFmtId="49" fontId="2" fillId="0" borderId="0" xfId="1" applyNumberFormat="1" applyFill="1" applyAlignment="1">
      <alignment horizontal="left" vertical="center"/>
    </xf>
    <xf numFmtId="49" fontId="8" fillId="0" borderId="0" xfId="1" applyNumberFormat="1" applyFont="1" applyFill="1">
      <alignment vertical="center"/>
    </xf>
    <xf numFmtId="179" fontId="13" fillId="5" borderId="2" xfId="5" applyNumberFormat="1" applyFont="1" applyFill="1" applyBorder="1" applyAlignment="1">
      <alignment horizontal="center" vertical="center"/>
    </xf>
    <xf numFmtId="179" fontId="14" fillId="0" borderId="2" xfId="5" applyNumberFormat="1" applyFont="1" applyFill="1" applyBorder="1" applyAlignment="1">
      <alignment horizontal="left" vertical="center"/>
    </xf>
    <xf numFmtId="0" fontId="14" fillId="0" borderId="3" xfId="1" applyFont="1" applyFill="1" applyBorder="1" applyAlignment="1">
      <alignment horizontal="center" vertical="center" textRotation="255"/>
    </xf>
    <xf numFmtId="0" fontId="14" fillId="0" borderId="4" xfId="1" applyFont="1" applyFill="1" applyBorder="1" applyAlignment="1">
      <alignment horizontal="center" vertical="center" textRotation="255"/>
    </xf>
    <xf numFmtId="0" fontId="14" fillId="0" borderId="5" xfId="1" applyFont="1" applyFill="1" applyBorder="1" applyAlignment="1">
      <alignment horizontal="center" vertical="center" textRotation="255"/>
    </xf>
  </cellXfs>
  <cellStyles count="8">
    <cellStyle name="百分比 2" xfId="6" xr:uid="{ADBE3772-EA59-406D-8A76-71E6990A239F}"/>
    <cellStyle name="表头" xfId="2" xr:uid="{77E06348-CBF0-4FAF-8B61-CF15B0FA0441}"/>
    <cellStyle name="常规" xfId="0" builtinId="0"/>
    <cellStyle name="常规 2" xfId="1" xr:uid="{8DD5EE9A-EE68-462A-A3B2-80298D21D99F}"/>
    <cellStyle name="常规_控制测试底稿" xfId="5" xr:uid="{66AA0871-756B-4EF6-85EA-A131C5E177F2}"/>
    <cellStyle name="代码" xfId="3" xr:uid="{C61C82ED-5180-40ED-A780-4DCF02485F19}"/>
    <cellStyle name="千位分隔" xfId="7" builtinId="3"/>
    <cellStyle name="千位分隔 2" xfId="4" xr:uid="{27D0034B-4554-4AD8-AEBA-08358211CDA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99060</xdr:rowOff>
        </xdr:from>
        <xdr:to>
          <xdr:col>5</xdr:col>
          <xdr:colOff>38100</xdr:colOff>
          <xdr:row>4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开始核对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312420</xdr:colOff>
          <xdr:row>2</xdr:row>
          <xdr:rowOff>99060</xdr:rowOff>
        </xdr:from>
        <xdr:to>
          <xdr:col>7</xdr:col>
          <xdr:colOff>350520</xdr:colOff>
          <xdr:row>4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展示(刷新)结果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2</xdr:row>
          <xdr:rowOff>99060</xdr:rowOff>
        </xdr:from>
        <xdr:to>
          <xdr:col>2</xdr:col>
          <xdr:colOff>365760</xdr:colOff>
          <xdr:row>4</xdr:row>
          <xdr:rowOff>30480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格式校检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82F54-4278-41A1-BFCA-EACE0827BC8C}">
  <sheetPr codeName="Sheet1">
    <tabColor indexed="13"/>
  </sheetPr>
  <dimension ref="A1:H27"/>
  <sheetViews>
    <sheetView workbookViewId="0">
      <selection activeCell="I14" sqref="I14"/>
    </sheetView>
  </sheetViews>
  <sheetFormatPr defaultRowHeight="13.2" x14ac:dyDescent="0.25"/>
  <cols>
    <col min="1" max="1" width="8.88671875" style="4"/>
    <col min="2" max="2" width="14.88671875" style="4" customWidth="1"/>
    <col min="3" max="16384" width="8.88671875" style="4"/>
  </cols>
  <sheetData>
    <row r="1" spans="1:8" ht="18" customHeight="1" x14ac:dyDescent="0.25">
      <c r="B1" s="1" t="s">
        <v>51</v>
      </c>
      <c r="C1" s="1" t="s">
        <v>0</v>
      </c>
      <c r="D1" s="2">
        <v>3</v>
      </c>
      <c r="E1" s="3" t="s">
        <v>1</v>
      </c>
      <c r="F1" s="1" t="s">
        <v>2</v>
      </c>
      <c r="G1" s="2">
        <v>3</v>
      </c>
      <c r="H1" s="3" t="s">
        <v>1</v>
      </c>
    </row>
    <row r="2" spans="1:8" ht="18" customHeight="1" x14ac:dyDescent="0.25"/>
    <row r="3" spans="1:8" ht="18" customHeight="1" x14ac:dyDescent="0.25"/>
    <row r="4" spans="1:8" ht="18" customHeight="1" x14ac:dyDescent="0.25"/>
    <row r="5" spans="1:8" ht="18" customHeight="1" x14ac:dyDescent="0.25"/>
    <row r="6" spans="1:8" ht="18" customHeight="1" x14ac:dyDescent="0.25"/>
    <row r="7" spans="1:8" ht="18" customHeight="1" x14ac:dyDescent="0.25">
      <c r="A7" s="51" t="s">
        <v>60</v>
      </c>
    </row>
    <row r="8" spans="1:8" ht="18" customHeight="1" x14ac:dyDescent="0.25">
      <c r="A8" s="48" t="s">
        <v>61</v>
      </c>
    </row>
    <row r="9" spans="1:8" ht="18" customHeight="1" x14ac:dyDescent="0.25"/>
    <row r="10" spans="1:8" s="48" customFormat="1" ht="18" customHeight="1" x14ac:dyDescent="0.25">
      <c r="A10" s="51" t="s">
        <v>52</v>
      </c>
    </row>
    <row r="11" spans="1:8" s="48" customFormat="1" ht="18" customHeight="1" x14ac:dyDescent="0.25">
      <c r="A11" s="48" t="s">
        <v>55</v>
      </c>
    </row>
    <row r="12" spans="1:8" s="48" customFormat="1" ht="18" customHeight="1" x14ac:dyDescent="0.25">
      <c r="A12" s="48" t="s">
        <v>53</v>
      </c>
    </row>
    <row r="13" spans="1:8" s="48" customFormat="1" ht="18" customHeight="1" x14ac:dyDescent="0.25">
      <c r="A13" s="48" t="s">
        <v>67</v>
      </c>
    </row>
    <row r="14" spans="1:8" s="48" customFormat="1" ht="18" customHeight="1" x14ac:dyDescent="0.25">
      <c r="A14" s="48" t="s">
        <v>66</v>
      </c>
    </row>
    <row r="15" spans="1:8" s="48" customFormat="1" ht="18" customHeight="1" x14ac:dyDescent="0.25">
      <c r="A15" s="48" t="s">
        <v>54</v>
      </c>
    </row>
    <row r="16" spans="1:8" s="48" customFormat="1" ht="18" customHeight="1" x14ac:dyDescent="0.25">
      <c r="A16" s="48" t="s">
        <v>59</v>
      </c>
    </row>
    <row r="17" spans="1:4" ht="18" customHeight="1" x14ac:dyDescent="0.25"/>
    <row r="18" spans="1:4" s="48" customFormat="1" ht="18" customHeight="1" x14ac:dyDescent="0.25">
      <c r="A18" s="51" t="s">
        <v>56</v>
      </c>
      <c r="D18" s="48" t="s">
        <v>62</v>
      </c>
    </row>
    <row r="19" spans="1:4" s="48" customFormat="1" ht="18" customHeight="1" x14ac:dyDescent="0.25">
      <c r="A19" s="48" t="s">
        <v>57</v>
      </c>
    </row>
    <row r="20" spans="1:4" s="48" customFormat="1" ht="18" customHeight="1" x14ac:dyDescent="0.25">
      <c r="A20" s="48" t="s">
        <v>63</v>
      </c>
    </row>
    <row r="21" spans="1:4" s="48" customFormat="1" ht="18" customHeight="1" x14ac:dyDescent="0.25">
      <c r="A21" s="48" t="s">
        <v>58</v>
      </c>
    </row>
    <row r="22" spans="1:4" s="48" customFormat="1" ht="18" customHeight="1" x14ac:dyDescent="0.25">
      <c r="A22" s="48" t="s">
        <v>64</v>
      </c>
    </row>
    <row r="23" spans="1:4" s="48" customFormat="1" ht="18" customHeight="1" x14ac:dyDescent="0.25">
      <c r="A23" s="48" t="s">
        <v>65</v>
      </c>
    </row>
    <row r="24" spans="1:4" ht="18" customHeight="1" x14ac:dyDescent="0.25"/>
    <row r="25" spans="1:4" ht="18" customHeight="1" x14ac:dyDescent="0.25"/>
    <row r="26" spans="1:4" ht="18" customHeight="1" x14ac:dyDescent="0.25"/>
    <row r="27" spans="1:4" ht="18" customHeight="1" x14ac:dyDescent="0.2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heckMain">
                <anchor moveWithCells="1">
                  <from>
                    <xdr:col>3</xdr:col>
                    <xdr:colOff>0</xdr:colOff>
                    <xdr:row>2</xdr:row>
                    <xdr:rowOff>99060</xdr:rowOff>
                  </from>
                  <to>
                    <xdr:col>5</xdr:col>
                    <xdr:colOff>38100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ispalyMain">
                <anchor moveWithCells="1">
                  <from>
                    <xdr:col>5</xdr:col>
                    <xdr:colOff>312420</xdr:colOff>
                    <xdr:row>2</xdr:row>
                    <xdr:rowOff>99060</xdr:rowOff>
                  </from>
                  <to>
                    <xdr:col>7</xdr:col>
                    <xdr:colOff>350520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amtCheckMain">
                <anchor moveWithCells="1">
                  <from>
                    <xdr:col>1</xdr:col>
                    <xdr:colOff>129540</xdr:colOff>
                    <xdr:row>2</xdr:row>
                    <xdr:rowOff>99060</xdr:rowOff>
                  </from>
                  <to>
                    <xdr:col>2</xdr:col>
                    <xdr:colOff>365760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D213D-D10E-4961-BA28-EB1F2A28AD89}">
  <sheetPr codeName="Sheet2">
    <tabColor indexed="13"/>
    <pageSetUpPr fitToPage="1"/>
  </sheetPr>
  <dimension ref="A1:N7"/>
  <sheetViews>
    <sheetView tabSelected="1" zoomScaleNormal="100" workbookViewId="0">
      <pane ySplit="1" topLeftCell="A2" activePane="bottomLeft" state="frozen"/>
      <selection activeCell="K16" sqref="K16"/>
      <selection pane="bottomLeft" activeCell="I12" sqref="I12"/>
    </sheetView>
  </sheetViews>
  <sheetFormatPr defaultColWidth="13.6640625" defaultRowHeight="15" customHeight="1" x14ac:dyDescent="0.25"/>
  <cols>
    <col min="1" max="1" width="23.109375" style="4" customWidth="1"/>
    <col min="2" max="2" width="8.33203125" style="7" bestFit="1" customWidth="1"/>
    <col min="3" max="3" width="8.33203125" style="8" bestFit="1" customWidth="1"/>
    <col min="4" max="4" width="10.44140625" style="9" bestFit="1" customWidth="1"/>
    <col min="5" max="5" width="8.77734375" style="54" customWidth="1"/>
    <col min="6" max="6" width="17.33203125" style="10" bestFit="1" customWidth="1"/>
    <col min="7" max="7" width="8.6640625" style="8" customWidth="1"/>
    <col min="8" max="8" width="13.44140625" style="11" bestFit="1" customWidth="1"/>
    <col min="9" max="9" width="14.6640625" style="11" bestFit="1" customWidth="1"/>
    <col min="10" max="10" width="13.6640625" style="12" bestFit="1" customWidth="1"/>
    <col min="11" max="11" width="13.33203125" style="12" customWidth="1"/>
    <col min="12" max="12" width="8.33203125" style="4" bestFit="1" customWidth="1"/>
    <col min="13" max="13" width="8.109375" style="6" customWidth="1"/>
    <col min="14" max="14" width="6.33203125" style="6" customWidth="1"/>
    <col min="15" max="16384" width="13.6640625" style="4"/>
  </cols>
  <sheetData>
    <row r="1" spans="1:14" s="6" customFormat="1" ht="28.2" customHeight="1" x14ac:dyDescent="0.25">
      <c r="A1" s="44" t="s">
        <v>3</v>
      </c>
      <c r="B1" s="38" t="s">
        <v>4</v>
      </c>
      <c r="C1" s="39" t="s">
        <v>5</v>
      </c>
      <c r="D1" s="44" t="s">
        <v>6</v>
      </c>
      <c r="E1" s="42" t="s">
        <v>7</v>
      </c>
      <c r="F1" s="38" t="s">
        <v>8</v>
      </c>
      <c r="G1" s="39" t="s">
        <v>9</v>
      </c>
      <c r="H1" s="44" t="s">
        <v>10</v>
      </c>
      <c r="I1" s="44" t="s">
        <v>11</v>
      </c>
      <c r="J1" s="40" t="s">
        <v>68</v>
      </c>
      <c r="K1" s="40" t="s">
        <v>69</v>
      </c>
      <c r="L1" s="41" t="s">
        <v>12</v>
      </c>
      <c r="M1" s="5"/>
    </row>
    <row r="2" spans="1:14" s="17" customFormat="1" ht="15" customHeight="1" x14ac:dyDescent="0.25">
      <c r="A2" s="17" t="s">
        <v>70</v>
      </c>
      <c r="B2" s="7"/>
      <c r="C2" s="8"/>
      <c r="D2" s="13">
        <v>43487</v>
      </c>
      <c r="E2" s="54"/>
      <c r="F2" s="8"/>
      <c r="G2" s="8"/>
      <c r="H2" s="11">
        <v>0.76</v>
      </c>
      <c r="I2" s="11">
        <v>0</v>
      </c>
      <c r="J2" s="12"/>
      <c r="K2" s="12">
        <v>2</v>
      </c>
      <c r="M2" s="49"/>
      <c r="N2" s="50"/>
    </row>
    <row r="3" spans="1:14" s="17" customFormat="1" ht="15" customHeight="1" x14ac:dyDescent="0.25">
      <c r="A3" s="17" t="s">
        <v>70</v>
      </c>
      <c r="B3" s="7"/>
      <c r="C3" s="8"/>
      <c r="D3" s="13">
        <v>43488</v>
      </c>
      <c r="E3" s="54"/>
      <c r="F3" s="8"/>
      <c r="G3" s="8"/>
      <c r="H3" s="11">
        <v>0.41</v>
      </c>
      <c r="I3" s="11">
        <v>0</v>
      </c>
      <c r="J3" s="12"/>
      <c r="K3" s="12">
        <v>3</v>
      </c>
      <c r="M3" s="49"/>
      <c r="N3" s="50"/>
    </row>
    <row r="4" spans="1:14" s="17" customFormat="1" ht="15" customHeight="1" x14ac:dyDescent="0.25">
      <c r="A4" s="17" t="s">
        <v>70</v>
      </c>
      <c r="B4" s="7"/>
      <c r="C4" s="8"/>
      <c r="D4" s="13">
        <v>43489</v>
      </c>
      <c r="E4" s="54"/>
      <c r="F4" s="8"/>
      <c r="G4" s="8"/>
      <c r="H4" s="11">
        <v>0.37</v>
      </c>
      <c r="I4" s="11">
        <v>0</v>
      </c>
      <c r="J4" s="12"/>
      <c r="K4" s="12">
        <v>4</v>
      </c>
      <c r="M4" s="49"/>
      <c r="N4" s="50"/>
    </row>
    <row r="5" spans="1:14" s="17" customFormat="1" ht="15" customHeight="1" x14ac:dyDescent="0.25">
      <c r="A5" s="17" t="s">
        <v>70</v>
      </c>
      <c r="B5" s="7"/>
      <c r="C5" s="8"/>
      <c r="D5" s="13">
        <v>43496</v>
      </c>
      <c r="E5" s="54"/>
      <c r="F5" s="8"/>
      <c r="G5" s="8"/>
      <c r="H5" s="11">
        <v>0.01</v>
      </c>
      <c r="I5" s="11">
        <v>0</v>
      </c>
      <c r="J5" s="12"/>
      <c r="K5" s="12">
        <v>5</v>
      </c>
      <c r="M5" s="49"/>
      <c r="N5" s="50"/>
    </row>
    <row r="6" spans="1:14" s="17" customFormat="1" ht="15" customHeight="1" x14ac:dyDescent="0.25">
      <c r="A6" s="17" t="s">
        <v>70</v>
      </c>
      <c r="B6" s="7"/>
      <c r="C6" s="8"/>
      <c r="D6" s="13">
        <v>43546</v>
      </c>
      <c r="E6" s="54"/>
      <c r="F6" s="8"/>
      <c r="G6" s="8"/>
      <c r="H6" s="11">
        <v>8.43</v>
      </c>
      <c r="I6" s="11">
        <v>0</v>
      </c>
      <c r="J6" s="12"/>
      <c r="K6" s="12">
        <v>6</v>
      </c>
      <c r="M6" s="49"/>
      <c r="N6" s="50"/>
    </row>
    <row r="7" spans="1:14" s="17" customFormat="1" ht="15" customHeight="1" x14ac:dyDescent="0.25">
      <c r="B7" s="7"/>
      <c r="C7" s="8"/>
      <c r="D7" s="9"/>
      <c r="E7" s="54"/>
      <c r="F7" s="10"/>
      <c r="G7" s="8"/>
      <c r="H7" s="11"/>
      <c r="I7" s="11"/>
      <c r="J7" s="12"/>
      <c r="K7" s="12"/>
      <c r="M7" s="50"/>
      <c r="N7" s="50"/>
    </row>
  </sheetData>
  <phoneticPr fontId="2" type="noConversion"/>
  <printOptions horizontalCentered="1" gridLines="1"/>
  <pageMargins left="0" right="0" top="0.98425196850393704" bottom="0.39370078740157483" header="0.51181102362204722" footer="0.19685039370078741"/>
  <pageSetup paperSize="9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5947-36E2-4EC8-9906-260D659B4196}">
  <sheetPr codeName="Sheet3">
    <tabColor indexed="13"/>
    <pageSetUpPr fitToPage="1"/>
  </sheetPr>
  <dimension ref="A1:N6"/>
  <sheetViews>
    <sheetView zoomScaleNormal="100" workbookViewId="0">
      <pane ySplit="1" topLeftCell="A2" activePane="bottomLeft" state="frozen"/>
      <selection activeCell="H74" sqref="H74"/>
      <selection pane="bottomLeft" activeCell="M2" sqref="M2:M6"/>
    </sheetView>
  </sheetViews>
  <sheetFormatPr defaultColWidth="13.6640625" defaultRowHeight="15" customHeight="1" x14ac:dyDescent="0.25"/>
  <cols>
    <col min="1" max="1" width="21.21875" style="20" customWidth="1"/>
    <col min="2" max="2" width="8.33203125" style="4" bestFit="1" customWidth="1"/>
    <col min="3" max="3" width="14.88671875" style="13" customWidth="1"/>
    <col min="4" max="4" width="10" style="52" bestFit="1" customWidth="1"/>
    <col min="5" max="5" width="5" style="4" bestFit="1" customWidth="1"/>
    <col min="6" max="6" width="14.6640625" style="14" bestFit="1" customWidth="1"/>
    <col min="7" max="7" width="13.44140625" style="14" bestFit="1" customWidth="1"/>
    <col min="8" max="8" width="8.33203125" style="15" bestFit="1" customWidth="1"/>
    <col min="9" max="9" width="11.88671875" style="4" bestFit="1" customWidth="1"/>
    <col min="10" max="10" width="17.33203125" style="4" bestFit="1" customWidth="1"/>
    <col min="11" max="11" width="8.6640625" style="4" customWidth="1"/>
    <col min="12" max="12" width="14.109375" style="16" bestFit="1" customWidth="1"/>
    <col min="13" max="13" width="9.77734375" style="16" bestFit="1" customWidth="1"/>
    <col min="14" max="14" width="8.33203125" style="4" bestFit="1" customWidth="1"/>
    <col min="15" max="16384" width="13.6640625" style="4"/>
  </cols>
  <sheetData>
    <row r="1" spans="1:14" s="6" customFormat="1" ht="28.2" customHeight="1" x14ac:dyDescent="0.25">
      <c r="A1" s="44" t="s">
        <v>3</v>
      </c>
      <c r="B1" s="42" t="s">
        <v>13</v>
      </c>
      <c r="C1" s="44" t="s">
        <v>14</v>
      </c>
      <c r="D1" s="42" t="s">
        <v>15</v>
      </c>
      <c r="E1" s="42" t="s">
        <v>9</v>
      </c>
      <c r="F1" s="44" t="s">
        <v>10</v>
      </c>
      <c r="G1" s="44" t="s">
        <v>11</v>
      </c>
      <c r="H1" s="42" t="s">
        <v>16</v>
      </c>
      <c r="I1" s="42" t="s">
        <v>17</v>
      </c>
      <c r="J1" s="42" t="s">
        <v>8</v>
      </c>
      <c r="K1" s="42" t="s">
        <v>18</v>
      </c>
      <c r="L1" s="40" t="s">
        <v>68</v>
      </c>
      <c r="M1" s="43" t="s">
        <v>69</v>
      </c>
      <c r="N1" s="41" t="s">
        <v>12</v>
      </c>
    </row>
    <row r="2" spans="1:14" s="17" customFormat="1" ht="15" customHeight="1" x14ac:dyDescent="0.25">
      <c r="A2" s="17" t="s">
        <v>70</v>
      </c>
      <c r="C2" s="13">
        <v>43487</v>
      </c>
      <c r="D2" s="53"/>
      <c r="F2" s="11">
        <v>0</v>
      </c>
      <c r="G2" s="11">
        <v>0.76</v>
      </c>
      <c r="H2" s="18"/>
      <c r="L2" s="19"/>
      <c r="M2" s="19">
        <v>2</v>
      </c>
    </row>
    <row r="3" spans="1:14" s="17" customFormat="1" ht="15" customHeight="1" x14ac:dyDescent="0.25">
      <c r="A3" s="17" t="s">
        <v>70</v>
      </c>
      <c r="C3" s="13">
        <v>43488</v>
      </c>
      <c r="D3" s="53"/>
      <c r="F3" s="11">
        <v>0</v>
      </c>
      <c r="G3" s="11">
        <v>0.41</v>
      </c>
      <c r="H3" s="18"/>
      <c r="L3" s="19"/>
      <c r="M3" s="19">
        <v>3</v>
      </c>
    </row>
    <row r="4" spans="1:14" s="17" customFormat="1" ht="15" customHeight="1" x14ac:dyDescent="0.25">
      <c r="A4" s="17" t="s">
        <v>70</v>
      </c>
      <c r="C4" s="13">
        <v>43489</v>
      </c>
      <c r="D4" s="53"/>
      <c r="F4" s="11">
        <v>0</v>
      </c>
      <c r="G4" s="11">
        <v>0.37</v>
      </c>
      <c r="H4" s="18"/>
      <c r="L4" s="19"/>
      <c r="M4" s="19">
        <v>4</v>
      </c>
    </row>
    <row r="5" spans="1:14" s="17" customFormat="1" ht="15" customHeight="1" x14ac:dyDescent="0.25">
      <c r="A5" s="17" t="s">
        <v>70</v>
      </c>
      <c r="C5" s="13">
        <v>43496</v>
      </c>
      <c r="D5" s="53"/>
      <c r="F5" s="11">
        <v>0</v>
      </c>
      <c r="G5" s="11">
        <v>0.01</v>
      </c>
      <c r="H5" s="18"/>
      <c r="L5" s="19"/>
      <c r="M5" s="19">
        <v>5</v>
      </c>
    </row>
    <row r="6" spans="1:14" s="17" customFormat="1" ht="15" customHeight="1" x14ac:dyDescent="0.25">
      <c r="A6" s="17" t="s">
        <v>70</v>
      </c>
      <c r="C6" s="13">
        <v>43546</v>
      </c>
      <c r="D6" s="53"/>
      <c r="F6" s="11">
        <v>0</v>
      </c>
      <c r="G6" s="11">
        <v>8.43</v>
      </c>
      <c r="H6" s="18"/>
      <c r="L6" s="19"/>
      <c r="M6" s="19">
        <v>6</v>
      </c>
    </row>
  </sheetData>
  <phoneticPr fontId="1" type="noConversion"/>
  <printOptions horizontalCentered="1" gridLines="1"/>
  <pageMargins left="0" right="0" top="0.98425196850393704" bottom="0.39370078740157483" header="0.51181102362204722" footer="0.19685039370078741"/>
  <pageSetup paperSize="9" scale="95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C8084-5E55-42E0-A9C2-1890987A4FF4}">
  <sheetPr codeName="Sheet4">
    <tabColor rgb="FF00B050"/>
  </sheetPr>
  <dimension ref="A1:S22"/>
  <sheetViews>
    <sheetView zoomScale="85" zoomScaleNormal="85" workbookViewId="0">
      <selection activeCell="E7" sqref="E7"/>
    </sheetView>
  </sheetViews>
  <sheetFormatPr defaultRowHeight="13.2" x14ac:dyDescent="0.25"/>
  <cols>
    <col min="1" max="1" width="5.21875" style="21" customWidth="1"/>
    <col min="2" max="2" width="38.5546875" style="28" customWidth="1"/>
    <col min="3" max="3" width="16.109375" style="47" customWidth="1"/>
    <col min="4" max="15" width="14.109375" style="29" customWidth="1"/>
    <col min="16" max="16" width="14.6640625" style="29" customWidth="1"/>
    <col min="17" max="16384" width="8.88671875" style="21"/>
  </cols>
  <sheetData>
    <row r="1" spans="1:19" ht="37.200000000000003" customHeight="1" x14ac:dyDescent="0.25">
      <c r="A1" s="55" t="s">
        <v>19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R1" s="22"/>
      <c r="S1" s="23"/>
    </row>
    <row r="2" spans="1:19" ht="21" customHeight="1" x14ac:dyDescent="0.25">
      <c r="A2" s="56" t="s">
        <v>50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</row>
    <row r="3" spans="1:19" s="35" customFormat="1" ht="24.6" customHeight="1" x14ac:dyDescent="0.25">
      <c r="A3" s="25"/>
      <c r="B3" s="25" t="s">
        <v>33</v>
      </c>
      <c r="C3" s="25" t="s">
        <v>40</v>
      </c>
      <c r="D3" s="33" t="s">
        <v>20</v>
      </c>
      <c r="E3" s="33" t="s">
        <v>21</v>
      </c>
      <c r="F3" s="33" t="s">
        <v>22</v>
      </c>
      <c r="G3" s="33" t="s">
        <v>23</v>
      </c>
      <c r="H3" s="33" t="s">
        <v>24</v>
      </c>
      <c r="I3" s="33" t="s">
        <v>25</v>
      </c>
      <c r="J3" s="33" t="s">
        <v>26</v>
      </c>
      <c r="K3" s="33" t="s">
        <v>27</v>
      </c>
      <c r="L3" s="33" t="s">
        <v>28</v>
      </c>
      <c r="M3" s="33" t="s">
        <v>29</v>
      </c>
      <c r="N3" s="33" t="s">
        <v>30</v>
      </c>
      <c r="O3" s="33" t="s">
        <v>31</v>
      </c>
      <c r="P3" s="34" t="s">
        <v>32</v>
      </c>
    </row>
    <row r="4" spans="1:19" s="24" customFormat="1" ht="24.6" customHeight="1" x14ac:dyDescent="0.25">
      <c r="A4" s="57" t="s">
        <v>48</v>
      </c>
      <c r="B4" s="26" t="s">
        <v>44</v>
      </c>
      <c r="C4" s="45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7">
        <f>SUM(D4:O4)</f>
        <v>0</v>
      </c>
    </row>
    <row r="5" spans="1:19" s="24" customFormat="1" ht="24.6" customHeight="1" x14ac:dyDescent="0.25">
      <c r="A5" s="58"/>
      <c r="B5" s="26" t="s">
        <v>45</v>
      </c>
      <c r="C5" s="45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7">
        <f t="shared" ref="P5:P19" si="0">SUM(D5:O5)</f>
        <v>0</v>
      </c>
    </row>
    <row r="6" spans="1:19" s="24" customFormat="1" ht="24.6" customHeight="1" x14ac:dyDescent="0.25">
      <c r="A6" s="58"/>
      <c r="B6" s="26" t="s">
        <v>34</v>
      </c>
      <c r="C6" s="45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7">
        <f t="shared" si="0"/>
        <v>0</v>
      </c>
      <c r="Q6" s="27"/>
    </row>
    <row r="7" spans="1:19" s="24" customFormat="1" ht="24.6" customHeight="1" x14ac:dyDescent="0.25">
      <c r="A7" s="58"/>
      <c r="B7" s="26" t="s">
        <v>35</v>
      </c>
      <c r="C7" s="45" t="s">
        <v>41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7">
        <f t="shared" si="0"/>
        <v>0</v>
      </c>
      <c r="Q7" s="27"/>
    </row>
    <row r="8" spans="1:19" s="24" customFormat="1" ht="24.6" customHeight="1" x14ac:dyDescent="0.25">
      <c r="A8" s="58"/>
      <c r="B8" s="26" t="s">
        <v>36</v>
      </c>
      <c r="C8" s="45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7">
        <f t="shared" si="0"/>
        <v>0</v>
      </c>
      <c r="Q8" s="27"/>
    </row>
    <row r="9" spans="1:19" s="24" customFormat="1" ht="24.6" customHeight="1" x14ac:dyDescent="0.25">
      <c r="A9" s="58"/>
      <c r="B9" s="26" t="s">
        <v>37</v>
      </c>
      <c r="C9" s="45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7">
        <f t="shared" si="0"/>
        <v>0</v>
      </c>
      <c r="Q9" s="27"/>
    </row>
    <row r="10" spans="1:19" s="24" customFormat="1" ht="24.6" customHeight="1" x14ac:dyDescent="0.25">
      <c r="A10" s="58"/>
      <c r="B10" s="32" t="s">
        <v>38</v>
      </c>
      <c r="C10" s="46" t="s">
        <v>42</v>
      </c>
      <c r="D10" s="37">
        <f>D4-(D7+D8+D9)</f>
        <v>0</v>
      </c>
      <c r="E10" s="37">
        <f t="shared" ref="E10:O10" si="1">E4-(E7+E8+E9)</f>
        <v>0</v>
      </c>
      <c r="F10" s="37">
        <f t="shared" si="1"/>
        <v>0</v>
      </c>
      <c r="G10" s="37">
        <f t="shared" si="1"/>
        <v>0</v>
      </c>
      <c r="H10" s="37">
        <f t="shared" si="1"/>
        <v>0</v>
      </c>
      <c r="I10" s="37">
        <f t="shared" si="1"/>
        <v>0</v>
      </c>
      <c r="J10" s="37">
        <f t="shared" si="1"/>
        <v>0</v>
      </c>
      <c r="K10" s="37">
        <f t="shared" si="1"/>
        <v>0</v>
      </c>
      <c r="L10" s="37">
        <f t="shared" si="1"/>
        <v>0</v>
      </c>
      <c r="M10" s="37">
        <f t="shared" si="1"/>
        <v>0</v>
      </c>
      <c r="N10" s="37">
        <f t="shared" si="1"/>
        <v>0</v>
      </c>
      <c r="O10" s="37">
        <f t="shared" si="1"/>
        <v>0</v>
      </c>
      <c r="P10" s="37">
        <f t="shared" si="0"/>
        <v>0</v>
      </c>
      <c r="Q10" s="27"/>
    </row>
    <row r="11" spans="1:19" s="24" customFormat="1" ht="24.6" customHeight="1" x14ac:dyDescent="0.25">
      <c r="A11" s="59"/>
      <c r="B11" s="32" t="s">
        <v>39</v>
      </c>
      <c r="C11" s="46" t="s">
        <v>43</v>
      </c>
      <c r="D11" s="37">
        <f>D5-(D7+D8+D9)</f>
        <v>0</v>
      </c>
      <c r="E11" s="37">
        <f t="shared" ref="E11:O11" si="2">E5-(E7+E8+E9)</f>
        <v>0</v>
      </c>
      <c r="F11" s="37">
        <f t="shared" si="2"/>
        <v>0</v>
      </c>
      <c r="G11" s="37">
        <f t="shared" si="2"/>
        <v>0</v>
      </c>
      <c r="H11" s="37">
        <f t="shared" si="2"/>
        <v>0</v>
      </c>
      <c r="I11" s="37">
        <f t="shared" si="2"/>
        <v>0</v>
      </c>
      <c r="J11" s="37">
        <f t="shared" si="2"/>
        <v>0</v>
      </c>
      <c r="K11" s="37">
        <f t="shared" si="2"/>
        <v>0</v>
      </c>
      <c r="L11" s="37">
        <f t="shared" si="2"/>
        <v>0</v>
      </c>
      <c r="M11" s="37">
        <f t="shared" si="2"/>
        <v>0</v>
      </c>
      <c r="N11" s="37">
        <f t="shared" si="2"/>
        <v>0</v>
      </c>
      <c r="O11" s="37">
        <f t="shared" si="2"/>
        <v>0</v>
      </c>
      <c r="P11" s="37">
        <f t="shared" si="0"/>
        <v>0</v>
      </c>
      <c r="Q11" s="27"/>
    </row>
    <row r="12" spans="1:19" s="24" customFormat="1" ht="24.6" customHeight="1" x14ac:dyDescent="0.25">
      <c r="A12" s="57" t="s">
        <v>49</v>
      </c>
      <c r="B12" s="26" t="s">
        <v>46</v>
      </c>
      <c r="C12" s="45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7">
        <f t="shared" si="0"/>
        <v>0</v>
      </c>
      <c r="Q12" s="27"/>
    </row>
    <row r="13" spans="1:19" s="24" customFormat="1" ht="24.6" customHeight="1" x14ac:dyDescent="0.25">
      <c r="A13" s="58"/>
      <c r="B13" s="26" t="s">
        <v>47</v>
      </c>
      <c r="C13" s="45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7">
        <f t="shared" si="0"/>
        <v>0</v>
      </c>
      <c r="Q13" s="27"/>
    </row>
    <row r="14" spans="1:19" s="24" customFormat="1" ht="24.6" customHeight="1" x14ac:dyDescent="0.25">
      <c r="A14" s="58"/>
      <c r="B14" s="26" t="s">
        <v>34</v>
      </c>
      <c r="C14" s="45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7">
        <f t="shared" si="0"/>
        <v>0</v>
      </c>
      <c r="Q14" s="27"/>
    </row>
    <row r="15" spans="1:19" s="24" customFormat="1" ht="24.6" customHeight="1" x14ac:dyDescent="0.25">
      <c r="A15" s="58"/>
      <c r="B15" s="26" t="s">
        <v>35</v>
      </c>
      <c r="C15" s="45" t="s">
        <v>41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7">
        <f t="shared" si="0"/>
        <v>0</v>
      </c>
      <c r="Q15" s="27"/>
    </row>
    <row r="16" spans="1:19" s="24" customFormat="1" ht="24.6" customHeight="1" x14ac:dyDescent="0.25">
      <c r="A16" s="58"/>
      <c r="B16" s="26" t="s">
        <v>36</v>
      </c>
      <c r="C16" s="45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7">
        <f t="shared" si="0"/>
        <v>0</v>
      </c>
      <c r="Q16" s="27"/>
    </row>
    <row r="17" spans="1:17" s="24" customFormat="1" ht="24.6" customHeight="1" x14ac:dyDescent="0.25">
      <c r="A17" s="58"/>
      <c r="B17" s="26" t="s">
        <v>37</v>
      </c>
      <c r="C17" s="45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7">
        <f t="shared" si="0"/>
        <v>0</v>
      </c>
      <c r="Q17" s="27"/>
    </row>
    <row r="18" spans="1:17" s="24" customFormat="1" ht="24.6" customHeight="1" x14ac:dyDescent="0.25">
      <c r="A18" s="58"/>
      <c r="B18" s="32" t="s">
        <v>38</v>
      </c>
      <c r="C18" s="46" t="s">
        <v>42</v>
      </c>
      <c r="D18" s="37">
        <f>D12-(D15+D16+D17)</f>
        <v>0</v>
      </c>
      <c r="E18" s="37">
        <f t="shared" ref="E18:O18" si="3">E12-(E15+E16+E17)</f>
        <v>0</v>
      </c>
      <c r="F18" s="37">
        <f t="shared" si="3"/>
        <v>0</v>
      </c>
      <c r="G18" s="37">
        <f t="shared" si="3"/>
        <v>0</v>
      </c>
      <c r="H18" s="37">
        <f t="shared" si="3"/>
        <v>0</v>
      </c>
      <c r="I18" s="37">
        <f t="shared" si="3"/>
        <v>0</v>
      </c>
      <c r="J18" s="37">
        <f t="shared" si="3"/>
        <v>0</v>
      </c>
      <c r="K18" s="37">
        <f t="shared" si="3"/>
        <v>0</v>
      </c>
      <c r="L18" s="37">
        <f t="shared" si="3"/>
        <v>0</v>
      </c>
      <c r="M18" s="37">
        <f t="shared" si="3"/>
        <v>0</v>
      </c>
      <c r="N18" s="37">
        <f t="shared" si="3"/>
        <v>0</v>
      </c>
      <c r="O18" s="37">
        <f t="shared" si="3"/>
        <v>0</v>
      </c>
      <c r="P18" s="37">
        <f t="shared" si="0"/>
        <v>0</v>
      </c>
    </row>
    <row r="19" spans="1:17" s="24" customFormat="1" ht="24.6" customHeight="1" x14ac:dyDescent="0.25">
      <c r="A19" s="59"/>
      <c r="B19" s="32" t="s">
        <v>39</v>
      </c>
      <c r="C19" s="46" t="s">
        <v>43</v>
      </c>
      <c r="D19" s="37">
        <f>D13-(D15+D16+D17)</f>
        <v>0</v>
      </c>
      <c r="E19" s="37">
        <f t="shared" ref="E19:O19" si="4">E13-(E15+E16+E17)</f>
        <v>0</v>
      </c>
      <c r="F19" s="37">
        <f t="shared" si="4"/>
        <v>0</v>
      </c>
      <c r="G19" s="37">
        <f t="shared" si="4"/>
        <v>0</v>
      </c>
      <c r="H19" s="37">
        <f t="shared" si="4"/>
        <v>0</v>
      </c>
      <c r="I19" s="37">
        <f t="shared" si="4"/>
        <v>0</v>
      </c>
      <c r="J19" s="37">
        <f t="shared" si="4"/>
        <v>0</v>
      </c>
      <c r="K19" s="37">
        <f t="shared" si="4"/>
        <v>0</v>
      </c>
      <c r="L19" s="37">
        <f t="shared" si="4"/>
        <v>0</v>
      </c>
      <c r="M19" s="37">
        <f t="shared" si="4"/>
        <v>0</v>
      </c>
      <c r="N19" s="37">
        <f t="shared" si="4"/>
        <v>0</v>
      </c>
      <c r="O19" s="37">
        <f t="shared" si="4"/>
        <v>0</v>
      </c>
      <c r="P19" s="37">
        <f t="shared" si="0"/>
        <v>0</v>
      </c>
      <c r="Q19" s="27"/>
    </row>
    <row r="21" spans="1:17" x14ac:dyDescent="0.25">
      <c r="H21" s="30"/>
    </row>
    <row r="22" spans="1:17" x14ac:dyDescent="0.25">
      <c r="H22" s="31"/>
    </row>
  </sheetData>
  <mergeCells count="4">
    <mergeCell ref="A1:P1"/>
    <mergeCell ref="A2:P2"/>
    <mergeCell ref="A4:A11"/>
    <mergeCell ref="A12:A19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控制面板</vt:lpstr>
      <vt:lpstr>序时账</vt:lpstr>
      <vt:lpstr>银行流水</vt:lpstr>
      <vt:lpstr>结果展示模板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2020-01-07T05:21:43Z</dcterms:modified>
</cp:coreProperties>
</file>